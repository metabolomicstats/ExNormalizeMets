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shansky.g\Documents\ExcelIntegration\TestGit\ExNormalizeMets-master\"/>
    </mc:Choice>
  </mc:AlternateContent>
  <bookViews>
    <workbookView xWindow="0" yWindow="0" windowWidth="12015" windowHeight="7950" tabRatio="914" firstSheet="9" activeTab="9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state="hidden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metabolitedata!$A$1:$D$129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sampledata!$A$1:$E$151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6">sampledata.nomissing!$A$1:$E$151</definedName>
    <definedName name="ExternalData_5" localSheetId="0">featuredata!$A$1:$DY$151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Factors">rfuncsettings!$F$116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1" type="6" refreshedVersion="6" background="1" saveData="1">
    <textPr prompt="0" sourceFile="C:\Users\olshansky.g\Documents\ExcelIntegration\NormalizeMets_Complete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" type="6" refreshedVersion="6" background="1" saveData="1">
    <textPr prompt="0" sourceFile="C:\Users\olshansky.g\Documents\ExcelIntegration\NormalizeMets_Complete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" type="6" refreshedVersion="6" background="1" saveData="1">
    <textPr prompt="0" sourceFile="C:\Users\olshansky.g\Documents\ExcelIntegration\NormalizeMets_Complete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<sst xmlns="http://schemas.openxmlformats.org/spreadsheetml/2006/main" count="1467" uniqueCount="529">
  <si>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</si>
  <si>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</si>
  <si>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</si>
  <si>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</si>
  <si>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</si>
  <si>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</si>
  <si>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</si>
  <si>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</si>
  <si>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</si>
  <si>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</si>
  <si>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</si>
  <si>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</si>
  <si>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</si>
  <si>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</si>
  <si>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</si>
  <si>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</si>
  <si>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</si>
  <si>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</si>
  <si>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</si>
  <si>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</si>
  <si>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</si>
  <si>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</si>
  <si>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</si>
  <si>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</si>
  <si>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</si>
  <si>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</si>
  <si>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</si>
  <si>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</si>
  <si>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</si>
  <si>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</si>
  <si>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</si>
  <si>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</si>
  <si>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</si>
  <si>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</si>
  <si>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</si>
  <si>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</si>
  <si>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</si>
  <si>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</si>
  <si>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</si>
  <si>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</si>
  <si>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</si>
  <si>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</si>
  <si>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</si>
  <si>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</si>
  <si>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</si>
  <si>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</si>
  <si>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</si>
  <si>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</si>
  <si>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</si>
  <si>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</si>
  <si>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</si>
  <si>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</si>
  <si>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</si>
  <si>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</si>
  <si>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</si>
  <si>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</si>
  <si>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</si>
  <si>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</si>
  <si>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</si>
  <si>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</si>
  <si>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</si>
  <si>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</si>
  <si>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</si>
  <si>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</si>
  <si>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</si>
  <si>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</si>
  <si>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</si>
  <si>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</si>
  <si>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</si>
  <si>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</si>
  <si>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</si>
  <si>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</si>
  <si>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</si>
  <si>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</si>
  <si>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</si>
  <si>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</si>
  <si>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</si>
  <si>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</si>
  <si>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</si>
  <si>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</si>
  <si>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</si>
  <si>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</si>
  <si>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</si>
  <si>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</si>
  <si>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</si>
  <si>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</si>
  <si>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</si>
  <si>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</si>
  <si>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</si>
  <si>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</si>
  <si>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</si>
  <si>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</si>
  <si>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</si>
  <si>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</si>
  <si>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</si>
  <si>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</si>
  <si>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</si>
  <si>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</si>
  <si>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</si>
  <si>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</si>
  <si>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</si>
  <si>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</si>
  <si>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</si>
  <si>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</si>
  <si>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</si>
  <si>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</si>
  <si>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</si>
  <si>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</si>
  <si>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</si>
  <si>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</si>
  <si>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</si>
  <si>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</si>
  <si>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</si>
  <si>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</si>
  <si>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</si>
  <si>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</si>
  <si>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</si>
  <si>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</si>
  <si>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</si>
  <si>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</si>
  <si>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</si>
  <si>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</si>
  <si>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</si>
  <si>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</si>
  <si>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</si>
  <si>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</si>
  <si>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</si>
  <si>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</si>
  <si>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</si>
  <si>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</si>
  <si>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</si>
  <si>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</si>
  <si>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</si>
  <si>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</si>
  <si>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</si>
  <si>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</si>
  <si>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</si>
  <si>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</si>
  <si>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</si>
  <si>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</si>
  <si>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</si>
  <si>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</si>
  <si>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</si>
  <si>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</si>
  <si>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</si>
  <si>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</si>
  <si>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</si>
  <si>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</si>
  <si>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</si>
  <si>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</si>
  <si>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</si>
  <si>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</si>
  <si>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</si>
  <si>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</si>
  <si>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</si>
  <si>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</si>
  <si>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</si>
  <si>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</si>
  <si>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</si>
  <si>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</si>
  <si>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</si>
  <si>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</si>
  <si>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</si>
  <si>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</si>
  <si>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</si>
  <si>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</si>
  <si>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</si>
  <si>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</si>
  <si>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</si>
  <si>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</si>
  <si>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</si>
  <si>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</si>
  <si>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</si>
  <si>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</si>
  <si>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</si>
  <si>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</si>
  <si>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</si>
  <si>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</si>
  <si>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</si>
  <si>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</si>
  <si>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</si>
  <si>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</si>
  <si>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</si>
  <si>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</si>
  <si>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</si>
  <si>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</si>
  <si>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</si>
  <si>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</si>
  <si>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</si>
  <si>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</si>
  <si>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</si>
  <si>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</si>
  <si>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</si>
  <si>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</si>
  <si>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</si>
  <si>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</si>
  <si>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</si>
  <si>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</si>
  <si>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</si>
  <si>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</si>
  <si>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</si>
  <si>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</si>
  <si>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</si>
  <si>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</si>
  <si>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</si>
  <si>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</si>
  <si>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</si>
  <si>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</si>
  <si>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</si>
  <si>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</si>
  <si>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</si>
  <si>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</si>
  <si>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</si>
  <si>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</si>
  <si>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</si>
  <si>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</si>
  <si>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</si>
  <si>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</si>
  <si>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</si>
  <si>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</si>
  <si>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</si>
  <si>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</si>
  <si>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</si>
  <si>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</si>
  <si>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</si>
  <si>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</si>
  <si>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</si>
  <si>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</si>
  <si>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</si>
  <si>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</si>
  <si>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</si>
  <si>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</si>
  <si>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</si>
  <si>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</si>
  <si>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</si>
  <si>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</si>
  <si>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</si>
  <si>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</si>
  <si>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</si>
  <si>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</si>
  <si>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</si>
  <si>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</si>
  <si>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</si>
  <si>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</si>
  <si>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</si>
  <si>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</si>
  <si>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</si>
  <si>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</si>
  <si>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</si>
  <si>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</si>
  <si>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</si>
  <si>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</si>
  <si>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</si>
  <si>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</si>
  <si>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</si>
  <si>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</si>
  <si>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</si>
  <si>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</si>
  <si>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</si>
  <si>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</si>
  <si>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</si>
  <si>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</si>
  <si>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</si>
  <si>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</si>
  <si>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</si>
  <si>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</si>
  <si>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</si>
  <si>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</si>
  <si>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</si>
  <si>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</si>
  <si>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</si>
  <si>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</si>
  <si>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</si>
  <si>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</si>
  <si>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</si>
  <si>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</si>
  <si>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</si>
  <si>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</si>
  <si>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</si>
  <si>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</si>
  <si>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</si>
  <si>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</si>
  <si>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</si>
  <si>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</si>
  <si>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</si>
  <si>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</si>
  <si>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</si>
  <si>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</si>
  <si>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</si>
  <si>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</si>
  <si>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</si>
  <si>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</si>
  <si>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</si>
  <si>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</si>
  <si>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</si>
  <si>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</si>
  <si>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</si>
  <si>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</si>
  <si>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</si>
  <si>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</si>
  <si>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</si>
  <si>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</si>
  <si>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</si>
  <si>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</si>
  <si>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</si>
  <si>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</si>
  <si>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</si>
  <si>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</si>
  <si>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</si>
  <si>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</si>
  <si>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</si>
  <si>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</si>
  <si>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</si>
  <si>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</si>
  <si>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</si>
  <si>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</si>
  <si>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volcano.yrange</t>
  </si>
  <si>
    <t>reportName</t>
  </si>
  <si>
    <t>"General_Report"</t>
  </si>
  <si>
    <t>Not Active = True</t>
  </si>
  <si>
    <t>sampledata_c[,c("","","")]</t>
  </si>
  <si>
    <t>sampledata_c[,c("batch","class","runord")]</t>
  </si>
  <si>
    <t>possible fill:</t>
  </si>
  <si>
    <t>dataset  name: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</si>
  <si>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</si>
  <si>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</si>
  <si>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</si>
  <si>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</si>
  <si>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</si>
  <si>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</si>
  <si>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</si>
  <si>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</si>
  <si>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</si>
  <si>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</si>
  <si>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</si>
  <si>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</si>
  <si>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</si>
  <si>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</si>
  <si>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</si>
  <si>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</si>
  <si>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</si>
  <si>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</si>
  <si>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</si>
  <si>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</si>
  <si>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</si>
  <si>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</si>
  <si>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</si>
  <si>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</si>
  <si>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</si>
  <si>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</si>
  <si>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</si>
  <si>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</si>
  <si>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</si>
  <si>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</si>
  <si>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</si>
  <si>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</si>
  <si>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</si>
  <si>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</si>
  <si>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</si>
  <si>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</si>
  <si>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</si>
  <si>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</si>
  <si>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</si>
  <si>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</si>
  <si>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</si>
  <si>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</si>
  <si>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</si>
  <si>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</si>
  <si>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</si>
  <si>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</si>
  <si>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</si>
  <si>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</si>
  <si>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</si>
  <si>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</si>
  <si>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</si>
  <si>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</si>
  <si>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</si>
  <si>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</si>
  <si>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</si>
  <si>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</si>
  <si>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</si>
  <si>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</si>
  <si>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</si>
  <si>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</si>
  <si>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</si>
  <si>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</si>
  <si>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</si>
  <si>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</si>
  <si>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</si>
  <si>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</si>
  <si>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</si>
  <si>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</si>
  <si>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</si>
  <si>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</si>
  <si>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</si>
  <si>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</si>
  <si>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</si>
  <si>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</si>
  <si>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</si>
  <si>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</si>
  <si>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</si>
  <si>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</si>
  <si>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</si>
  <si>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</si>
  <si>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</si>
  <si>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</si>
  <si>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</si>
  <si>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</si>
  <si>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</si>
  <si>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</si>
  <si>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</si>
  <si>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</si>
  <si>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</si>
  <si>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</si>
  <si>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</si>
  <si>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</si>
  <si>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</si>
  <si>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</si>
  <si>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</si>
  <si>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</si>
  <si>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</si>
  <si>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</si>
  <si>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</si>
  <si>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</si>
  <si>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</si>
  <si>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</si>
  <si>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</si>
  <si>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</si>
  <si>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</si>
  <si>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</si>
  <si>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</si>
  <si>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</si>
  <si>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</si>
  <si>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</si>
  <si>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</si>
  <si>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</si>
  <si>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</si>
  <si>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</si>
  <si>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</si>
  <si>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</si>
  <si>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</si>
  <si>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</si>
  <si>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</si>
  <si>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</si>
  <si>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</si>
  <si>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</si>
  <si>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</si>
  <si>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</si>
  <si>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</si>
  <si>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</si>
  <si>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</si>
  <si>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</si>
  <si>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</si>
  <si>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</si>
  <si>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</si>
  <si>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</si>
  <si>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</si>
  <si>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</si>
  <si>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</si>
  <si>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</si>
  <si>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</si>
  <si>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</si>
  <si>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</si>
  <si>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</si>
  <si>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</si>
  <si>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</si>
  <si>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</si>
  <si>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</si>
  <si>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</si>
  <si>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</si>
  <si>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</si>
  <si>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</si>
  <si>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</si>
  <si>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</si>
  <si>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</si>
  <si>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</si>
  <si>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</si>
  <si>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</si>
  <si>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</si>
  <si>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</si>
  <si>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</si>
  <si>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</si>
  <si>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</si>
  <si>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</si>
  <si>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</si>
  <si>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</si>
  <si>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</si>
  <si>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</si>
  <si>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</si>
  <si>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</si>
  <si>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</si>
  <si>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</si>
  <si>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</si>
  <si>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</si>
  <si>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</si>
  <si>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</si>
  <si>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</si>
  <si>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</si>
  <si>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</si>
  <si>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</si>
  <si>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</si>
  <si>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</si>
  <si>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</si>
  <si>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</si>
  <si>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</si>
  <si>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</si>
  <si>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</si>
  <si>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</si>
  <si>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</si>
  <si>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</si>
  <si>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Age</t>
  </si>
  <si>
    <t>Batch 2</t>
  </si>
  <si>
    <t>code_1</t>
  </si>
  <si>
    <t>code_0</t>
  </si>
  <si>
    <t>Batch 1</t>
  </si>
  <si>
    <t xml:space="preserve"> + batch + gender + Age + bmi</t>
  </si>
  <si>
    <t>norm1 (nomis)</t>
  </si>
  <si>
    <t>norm2 (ruvrand)</t>
  </si>
  <si>
    <t>norm3 (median)</t>
  </si>
  <si>
    <t>norm4 (ruv2)</t>
  </si>
  <si>
    <t>VennPlot</t>
  </si>
  <si>
    <t>SvmFit Accuracy</t>
  </si>
  <si>
    <t>SvmFit</t>
  </si>
  <si>
    <t>Unadjusted</t>
  </si>
  <si>
    <t>sampledata_c[["batch"]]</t>
  </si>
  <si>
    <t>"RlaPlotsCompUV"</t>
  </si>
  <si>
    <t>gfactor</t>
  </si>
  <si>
    <t>group factor:</t>
  </si>
  <si>
    <t>sampledata_c[,1]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</si>
</sst>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4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DN119" zoomScale="120" zoomScaleNormal="120" workbookViewId="0">
      <selection activeCell="DN119" sqref="A1:XFD1048576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6.85546875" bestFit="1" customWidth="1"/>
    <col min="2" max="2" width="2.5703125" bestFit="1" customWidth="1"/>
    <col min="3" max="3" width="12.42578125" bestFit="1" customWidth="1"/>
    <col min="4" max="4" width="19.8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0:129" x14ac:dyDescent="0.25"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0:129" x14ac:dyDescent="0.25"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50:129" x14ac:dyDescent="0.25"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50:129" x14ac:dyDescent="0.25"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50:129" x14ac:dyDescent="0.25"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50:129" x14ac:dyDescent="0.25"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50:129" x14ac:dyDescent="0.25"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50:129" x14ac:dyDescent="0.25"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50:129" x14ac:dyDescent="0.25"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50:129" x14ac:dyDescent="0.25"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50:129" x14ac:dyDescent="0.25"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50:129" x14ac:dyDescent="0.25"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50:129" x14ac:dyDescent="0.25"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50:129" x14ac:dyDescent="0.25"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50:129" x14ac:dyDescent="0.25"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50:129" x14ac:dyDescent="0.25"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50:129" x14ac:dyDescent="0.25"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50:129" x14ac:dyDescent="0.25"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50:129" x14ac:dyDescent="0.25"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50:129" x14ac:dyDescent="0.25"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50:129" x14ac:dyDescent="0.25"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50:129" x14ac:dyDescent="0.25"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50:129" x14ac:dyDescent="0.25"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50:129" x14ac:dyDescent="0.25"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50:129" x14ac:dyDescent="0.25"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50:129" x14ac:dyDescent="0.25"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50:129" x14ac:dyDescent="0.25"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50:129" x14ac:dyDescent="0.25"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50:129" x14ac:dyDescent="0.25"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50:129" x14ac:dyDescent="0.25"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50:129" x14ac:dyDescent="0.25"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50:129" x14ac:dyDescent="0.25"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50:129" x14ac:dyDescent="0.25"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50:129" x14ac:dyDescent="0.25"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50:129" x14ac:dyDescent="0.25"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50:129" x14ac:dyDescent="0.25"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50:129" x14ac:dyDescent="0.25"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50:129" x14ac:dyDescent="0.25"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50:129" x14ac:dyDescent="0.25"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50:129" x14ac:dyDescent="0.25"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50:129" x14ac:dyDescent="0.25"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50:129" x14ac:dyDescent="0.25"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50:129" x14ac:dyDescent="0.25"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50:129" x14ac:dyDescent="0.25"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50:129" x14ac:dyDescent="0.25"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50:129" x14ac:dyDescent="0.25"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50:129" x14ac:dyDescent="0.25"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50:129" x14ac:dyDescent="0.25"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50:129" x14ac:dyDescent="0.25"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50:129" x14ac:dyDescent="0.25"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50:129" x14ac:dyDescent="0.25"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50:129" x14ac:dyDescent="0.25"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50:129" x14ac:dyDescent="0.25"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50:129" x14ac:dyDescent="0.25"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50:129" x14ac:dyDescent="0.25"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50:129" x14ac:dyDescent="0.25"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50:129" x14ac:dyDescent="0.25"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50:129" x14ac:dyDescent="0.25"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50:129" x14ac:dyDescent="0.25"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50:129" x14ac:dyDescent="0.25"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50:129" x14ac:dyDescent="0.25"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50:129" x14ac:dyDescent="0.25"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50:129" x14ac:dyDescent="0.25"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50:129" x14ac:dyDescent="0.25"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426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427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428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429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430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431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432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433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434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435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436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437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438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439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440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441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442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443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444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445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446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447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448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449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450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451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452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453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454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455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456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457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458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459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460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461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462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463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464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465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466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467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468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469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470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471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472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473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474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475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476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477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478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479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480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481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482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483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484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485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486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487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488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489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490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491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492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493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494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495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496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497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498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499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500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501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502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503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504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505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506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507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508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509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09" workbookViewId="0">
      <selection activeCell="A109" sqref="A1:XFD1048576"/>
    </sheetView>
  </sheetViews>
  <sheetFormatPr defaultRowHeight="15" x14ac:dyDescent="0.25"/>
  <cols>
    <col min="1" max="1" width="5.85546875" bestFit="1" customWidth="1"/>
    <col min="2" max="129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1:129" x14ac:dyDescent="0.25"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1:129" x14ac:dyDescent="0.25"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51:129" x14ac:dyDescent="0.25"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51:129" x14ac:dyDescent="0.25"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51:129" x14ac:dyDescent="0.25"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51:129" x14ac:dyDescent="0.25"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51:129" x14ac:dyDescent="0.25"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51:129" x14ac:dyDescent="0.25"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51:129" x14ac:dyDescent="0.25"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51:129" x14ac:dyDescent="0.25"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51:129" x14ac:dyDescent="0.25"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51:129" x14ac:dyDescent="0.25"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51:129" x14ac:dyDescent="0.25"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51:129" x14ac:dyDescent="0.25"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51:129" x14ac:dyDescent="0.25"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51:129" x14ac:dyDescent="0.25"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51:129" x14ac:dyDescent="0.25"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51:129" x14ac:dyDescent="0.25"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51:129" x14ac:dyDescent="0.25"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51:129" x14ac:dyDescent="0.25"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51:129" x14ac:dyDescent="0.25"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51:129" x14ac:dyDescent="0.25"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51:129" x14ac:dyDescent="0.25"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51:129" x14ac:dyDescent="0.25"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51:129" x14ac:dyDescent="0.25"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51:129" x14ac:dyDescent="0.25"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51:129" x14ac:dyDescent="0.25"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51:129" x14ac:dyDescent="0.25"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51:129" x14ac:dyDescent="0.25"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51:129" x14ac:dyDescent="0.25"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51:129" x14ac:dyDescent="0.25"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51:129" x14ac:dyDescent="0.25"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404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405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406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407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408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409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410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411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412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413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414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415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416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417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418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419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420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421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422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423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424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425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426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427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428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429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430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431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432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433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434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435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436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437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438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439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440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441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442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443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444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445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446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447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448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449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450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451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452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453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454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455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456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457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458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459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460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461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462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463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464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465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466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467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468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469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470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471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472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473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474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475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476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477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478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479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480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481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482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483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484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485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486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487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488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489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490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491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492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493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494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495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496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497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498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499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500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501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502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503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504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505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506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507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508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509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7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A3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O39" sqref="O39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/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/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OptionButton4">
          <controlPr defaultSize="0" autoLine="0" r:id="rId5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4" name="OptionButton4"/>
      </mc:Fallback>
    </mc:AlternateContent>
    <mc:AlternateContent xmlns:mc="http://schemas.openxmlformats.org/markup-compatibility/2006">
      <mc:Choice Requires="x14">
        <control shapeId="2053" r:id="rId6" name="OptionButton3">
          <controlPr defaultSize="0" autoLine="0" r:id="rId7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6" name="OptionButton3"/>
      </mc:Fallback>
    </mc:AlternateContent>
    <mc:AlternateContent xmlns:mc="http://schemas.openxmlformats.org/markup-compatibility/2006">
      <mc:Choice Requires="x14">
        <control shapeId="2052" r:id="rId8" name="OptionButton2">
          <controlPr defaultSize="0" autoLine="0" r:id="rId9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8" name="OptionButton2"/>
      </mc:Fallback>
    </mc:AlternateContent>
    <mc:AlternateContent xmlns:mc="http://schemas.openxmlformats.org/markup-compatibility/2006">
      <mc:Choice Requires="x14">
        <control shapeId="2051" r:id="rId10" name="OptionButton1">
          <controlPr defaultSize="0" autoLine="0" r:id="rId11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10" name="OptionButton1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H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5" x14ac:dyDescent="0.25">
      <c r="C2" s="22"/>
      <c r="D2" s="22"/>
      <c r="T2" s="22"/>
      <c r="Y2" s="22"/>
    </row>
    <row r="3" spans="3:25" x14ac:dyDescent="0.25">
      <c r="C3" s="22"/>
      <c r="D3" s="22"/>
      <c r="T3" s="22"/>
      <c r="Y3" s="22"/>
    </row>
    <row r="4" spans="3:25" x14ac:dyDescent="0.25">
      <c r="C4" s="22"/>
      <c r="D4" s="22"/>
      <c r="T4" s="22"/>
      <c r="Y4" s="22"/>
    </row>
    <row r="5" spans="3:25" x14ac:dyDescent="0.25">
      <c r="C5" s="22"/>
      <c r="D5" s="22"/>
      <c r="T5" s="22"/>
      <c r="Y5" s="22"/>
    </row>
    <row r="6" spans="3:25" x14ac:dyDescent="0.25">
      <c r="C6" s="22"/>
      <c r="D6" s="22"/>
      <c r="T6" s="22"/>
      <c r="Y6" s="22"/>
    </row>
    <row r="7" spans="3:25" x14ac:dyDescent="0.25">
      <c r="C7" s="22"/>
      <c r="D7" s="22"/>
      <c r="T7" s="22"/>
      <c r="Y7" s="22"/>
    </row>
    <row r="8" spans="3:25" x14ac:dyDescent="0.25">
      <c r="C8" s="22"/>
      <c r="D8" s="22"/>
      <c r="T8" s="22"/>
      <c r="Y8" s="22"/>
    </row>
    <row r="9" spans="3:25" x14ac:dyDescent="0.25">
      <c r="C9" s="22"/>
      <c r="D9" s="22"/>
      <c r="T9" s="22"/>
      <c r="Y9" s="22"/>
    </row>
    <row r="10" spans="3:25" x14ac:dyDescent="0.25">
      <c r="C10" s="22"/>
      <c r="D10" s="22"/>
      <c r="H10" s="22"/>
      <c r="T10" s="22"/>
      <c r="Y10" s="22"/>
    </row>
    <row r="11" spans="3:25" x14ac:dyDescent="0.25">
      <c r="C11" s="22"/>
      <c r="D11" s="22"/>
      <c r="T11" s="22"/>
      <c r="Y11" s="22"/>
    </row>
    <row r="12" spans="3:25" x14ac:dyDescent="0.25">
      <c r="C12" s="22"/>
      <c r="D12" s="22"/>
      <c r="T12" s="22"/>
      <c r="Y12" s="22"/>
    </row>
    <row r="13" spans="3:25" x14ac:dyDescent="0.25">
      <c r="C13" s="22"/>
      <c r="D13" s="22"/>
      <c r="T13" s="22"/>
      <c r="Y13" s="22"/>
    </row>
    <row r="14" spans="3:25" x14ac:dyDescent="0.25">
      <c r="C14" s="22"/>
      <c r="D14" s="22"/>
      <c r="T14" s="22"/>
      <c r="Y14" s="22"/>
    </row>
    <row r="15" spans="3:25" x14ac:dyDescent="0.25">
      <c r="C15" s="22"/>
      <c r="D15" s="22"/>
      <c r="T15" s="22"/>
      <c r="Y15" s="22"/>
    </row>
    <row r="16" spans="3:25" x14ac:dyDescent="0.25">
      <c r="C16" s="22"/>
      <c r="D16" s="22"/>
      <c r="T16" s="22"/>
      <c r="Y16" s="22"/>
    </row>
    <row r="17" spans="3:29" x14ac:dyDescent="0.25">
      <c r="C17" s="22"/>
      <c r="D17" s="22"/>
      <c r="T17" s="22"/>
      <c r="Y17" s="22"/>
    </row>
    <row r="18" spans="3:29" x14ac:dyDescent="0.25">
      <c r="C18" s="22"/>
      <c r="D18" s="22"/>
      <c r="T18" s="22"/>
      <c r="Y18" s="22"/>
    </row>
    <row r="19" spans="3:29" x14ac:dyDescent="0.25">
      <c r="C19" s="22"/>
      <c r="D19" s="22"/>
      <c r="T19" s="22"/>
      <c r="Y19" s="22"/>
    </row>
    <row r="20" spans="3:29" x14ac:dyDescent="0.25">
      <c r="C20" s="22"/>
      <c r="D20" s="22"/>
      <c r="T20" s="22"/>
      <c r="Y20" s="22"/>
    </row>
    <row r="21" spans="3:29" x14ac:dyDescent="0.25">
      <c r="C21" s="22"/>
      <c r="D21" s="22"/>
      <c r="T21" s="22"/>
      <c r="X21" s="22"/>
      <c r="Y21" s="22"/>
    </row>
    <row r="22" spans="3:29" x14ac:dyDescent="0.25">
      <c r="C22" s="22"/>
      <c r="D22" s="22"/>
      <c r="T22" s="22"/>
      <c r="Y22" s="22"/>
    </row>
    <row r="23" spans="3:29" x14ac:dyDescent="0.25">
      <c r="C23" s="22"/>
      <c r="D23" s="22"/>
      <c r="T23" s="22"/>
      <c r="Y23" s="22"/>
    </row>
    <row r="24" spans="3:29" x14ac:dyDescent="0.25">
      <c r="C24" s="22"/>
      <c r="D24" s="22"/>
      <c r="T24" s="22"/>
      <c r="V24" s="22"/>
      <c r="Y24" s="22"/>
      <c r="AA24" s="22"/>
    </row>
    <row r="25" spans="3:29" x14ac:dyDescent="0.25">
      <c r="C25" s="22"/>
      <c r="D25" s="22"/>
      <c r="T25" s="22"/>
      <c r="Y25" s="22"/>
    </row>
    <row r="26" spans="3:29" x14ac:dyDescent="0.25">
      <c r="C26" s="22"/>
      <c r="D26" s="22"/>
      <c r="T26" s="22"/>
      <c r="V26" s="22"/>
      <c r="Y26" s="22"/>
    </row>
    <row r="27" spans="3:29" x14ac:dyDescent="0.25">
      <c r="C27" s="22"/>
      <c r="D27" s="22"/>
      <c r="T27" s="22"/>
      <c r="X27" s="22"/>
      <c r="Y27" s="22"/>
    </row>
    <row r="28" spans="3:29" x14ac:dyDescent="0.25">
      <c r="C28" s="22"/>
      <c r="D28" s="22"/>
      <c r="T28" s="22"/>
      <c r="X28" s="22"/>
      <c r="Y28" s="22"/>
      <c r="AC28" s="22"/>
    </row>
    <row r="29" spans="3:29" x14ac:dyDescent="0.25">
      <c r="C29" s="22"/>
      <c r="D29" s="22"/>
      <c r="T29" s="22"/>
      <c r="X29" s="22"/>
      <c r="Y29" s="22"/>
    </row>
    <row r="30" spans="3:29" x14ac:dyDescent="0.25">
      <c r="C30" s="22"/>
      <c r="D30" s="22"/>
      <c r="T30" s="22"/>
      <c r="Y30" s="22"/>
    </row>
    <row r="31" spans="3:29" x14ac:dyDescent="0.25">
      <c r="C31" s="22"/>
      <c r="D31" s="22"/>
      <c r="T31" s="22"/>
      <c r="Y31" s="22"/>
    </row>
    <row r="32" spans="3:29" x14ac:dyDescent="0.25">
      <c r="C32" s="22"/>
      <c r="D32" s="22"/>
      <c r="T32" s="22"/>
      <c r="Y32" s="22"/>
    </row>
    <row r="36" spans="3:29" x14ac:dyDescent="0.25">
      <c r="C36" s="22"/>
      <c r="D36" s="22"/>
      <c r="T36" s="22"/>
      <c r="Y36" s="22"/>
    </row>
    <row r="37" spans="3:29" x14ac:dyDescent="0.25">
      <c r="C37" s="22"/>
      <c r="D37" s="22"/>
      <c r="T37" s="22"/>
      <c r="Y37" s="22"/>
    </row>
    <row r="38" spans="3:29" x14ac:dyDescent="0.25">
      <c r="C38" s="22"/>
      <c r="D38" s="22"/>
      <c r="T38" s="22"/>
      <c r="Y38" s="22"/>
    </row>
    <row r="39" spans="3:29" x14ac:dyDescent="0.25">
      <c r="C39" s="22"/>
      <c r="D39" s="22"/>
      <c r="T39" s="22"/>
      <c r="Y39" s="22"/>
    </row>
    <row r="40" spans="3:29" x14ac:dyDescent="0.25">
      <c r="C40" s="22"/>
      <c r="D40" s="22"/>
      <c r="T40" s="22"/>
      <c r="Y40" s="22"/>
    </row>
    <row r="41" spans="3:29" x14ac:dyDescent="0.25">
      <c r="C41" s="22"/>
      <c r="D41" s="22"/>
      <c r="T41" s="22"/>
      <c r="Y41" s="22"/>
    </row>
    <row r="42" spans="3:29" x14ac:dyDescent="0.25">
      <c r="C42" s="22"/>
      <c r="D42" s="22"/>
      <c r="T42" s="22"/>
      <c r="Y42" s="22"/>
    </row>
    <row r="43" spans="3:29" x14ac:dyDescent="0.25">
      <c r="C43" s="22"/>
      <c r="D43" s="22"/>
      <c r="T43" s="22"/>
      <c r="Y43" s="22"/>
    </row>
    <row r="44" spans="3:29" x14ac:dyDescent="0.25">
      <c r="C44" s="22"/>
      <c r="D44" s="22"/>
      <c r="T44" s="22"/>
      <c r="X44" s="22"/>
      <c r="Y44" s="22"/>
      <c r="AC44" s="22"/>
    </row>
    <row r="45" spans="3:29" x14ac:dyDescent="0.25">
      <c r="C45" s="22"/>
      <c r="D45" s="22"/>
      <c r="T45" s="22"/>
      <c r="Y45" s="22"/>
    </row>
    <row r="46" spans="3:29" x14ac:dyDescent="0.25">
      <c r="C46" s="22"/>
      <c r="D46" s="22"/>
      <c r="T46" s="22"/>
      <c r="Y46" s="22"/>
    </row>
    <row r="47" spans="3:29" x14ac:dyDescent="0.25">
      <c r="C47" s="22"/>
      <c r="D47" s="22"/>
      <c r="T47" s="22"/>
      <c r="Y47" s="22"/>
    </row>
    <row r="48" spans="3:29" x14ac:dyDescent="0.25">
      <c r="C48" s="22"/>
      <c r="D48" s="22"/>
      <c r="T48" s="22"/>
      <c r="Y48" s="22"/>
    </row>
    <row r="49" spans="3:27" x14ac:dyDescent="0.25">
      <c r="C49" s="22"/>
      <c r="D49" s="22"/>
      <c r="T49" s="22"/>
      <c r="Y49" s="22"/>
    </row>
    <row r="50" spans="3:27" x14ac:dyDescent="0.25">
      <c r="C50" s="22"/>
      <c r="D50" s="22"/>
      <c r="T50" s="22"/>
      <c r="Y50" s="22"/>
    </row>
    <row r="51" spans="3:27" x14ac:dyDescent="0.25">
      <c r="C51" s="22"/>
      <c r="D51" s="22"/>
      <c r="T51" s="22"/>
      <c r="V51" s="22"/>
      <c r="Y51" s="22"/>
      <c r="AA51" s="22"/>
    </row>
    <row r="52" spans="3:27" x14ac:dyDescent="0.25">
      <c r="C52" s="22"/>
      <c r="D52" s="22"/>
      <c r="T52" s="22"/>
      <c r="Y52" s="22"/>
    </row>
    <row r="53" spans="3:27" x14ac:dyDescent="0.25">
      <c r="C53" s="22"/>
      <c r="D53" s="22"/>
      <c r="T53" s="22"/>
      <c r="V53" s="22"/>
      <c r="Y53" s="22"/>
      <c r="AA53" s="22"/>
    </row>
    <row r="54" spans="3:27" x14ac:dyDescent="0.25">
      <c r="C54" s="22"/>
      <c r="D54" s="22"/>
      <c r="T54" s="22"/>
      <c r="Y54" s="22"/>
    </row>
    <row r="55" spans="3:27" x14ac:dyDescent="0.25">
      <c r="C55" s="22"/>
      <c r="D55" s="22"/>
      <c r="T55" s="22"/>
      <c r="Y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T57" s="22"/>
      <c r="Y57" s="22"/>
    </row>
    <row r="58" spans="3:27" x14ac:dyDescent="0.25">
      <c r="C58" s="22"/>
      <c r="D58" s="22"/>
      <c r="T58" s="22"/>
      <c r="X58" s="22"/>
      <c r="Y58" s="22"/>
    </row>
    <row r="59" spans="3:27" x14ac:dyDescent="0.25">
      <c r="C59" s="22"/>
      <c r="D59" s="22"/>
      <c r="T59" s="22"/>
      <c r="Y59" s="22"/>
    </row>
    <row r="60" spans="3:27" x14ac:dyDescent="0.25">
      <c r="C60" s="22"/>
      <c r="D60" s="22"/>
      <c r="T60" s="22"/>
      <c r="Y60" s="22"/>
    </row>
    <row r="61" spans="3:27" x14ac:dyDescent="0.25">
      <c r="C61" s="22"/>
      <c r="D61" s="22"/>
      <c r="T61" s="22"/>
      <c r="Y61" s="22"/>
    </row>
    <row r="62" spans="3:27" x14ac:dyDescent="0.25">
      <c r="C62" s="22"/>
      <c r="D62" s="22"/>
      <c r="T62" s="22"/>
      <c r="Y62" s="22"/>
    </row>
    <row r="63" spans="3:27" x14ac:dyDescent="0.25">
      <c r="C63" s="22"/>
      <c r="D63" s="22"/>
      <c r="T63" s="22"/>
      <c r="Y63" s="22"/>
    </row>
    <row r="64" spans="3:27" x14ac:dyDescent="0.25">
      <c r="C64" s="22"/>
      <c r="D64" s="22"/>
      <c r="T64" s="22"/>
      <c r="Y64" s="22"/>
    </row>
    <row r="65" spans="3:34" x14ac:dyDescent="0.25">
      <c r="C65" s="22"/>
      <c r="D65" s="22"/>
      <c r="T65" s="22"/>
      <c r="Y65" s="22"/>
    </row>
    <row r="66" spans="3:34" x14ac:dyDescent="0.25">
      <c r="C66" s="22"/>
      <c r="D66" s="22"/>
      <c r="T66" s="22"/>
      <c r="Y66" s="22"/>
    </row>
    <row r="67" spans="3:34" x14ac:dyDescent="0.25">
      <c r="C67" s="22"/>
      <c r="D67" s="22"/>
      <c r="T67" s="22"/>
      <c r="Y67" s="22"/>
    </row>
    <row r="68" spans="3:34" x14ac:dyDescent="0.25">
      <c r="C68" s="22"/>
      <c r="D68" s="22"/>
      <c r="T68" s="22"/>
      <c r="Y68" s="22"/>
    </row>
    <row r="69" spans="3:34" x14ac:dyDescent="0.25">
      <c r="C69" s="22"/>
      <c r="D69" s="22"/>
      <c r="T69" s="22"/>
      <c r="Y69" s="22"/>
    </row>
    <row r="70" spans="3:34" x14ac:dyDescent="0.25">
      <c r="C70" s="22"/>
      <c r="D70" s="22"/>
      <c r="T70" s="22"/>
      <c r="Y70" s="22"/>
    </row>
    <row r="71" spans="3:34" x14ac:dyDescent="0.25">
      <c r="C71" s="22"/>
      <c r="D71" s="22"/>
      <c r="T71" s="22"/>
      <c r="Y71" s="22"/>
    </row>
    <row r="72" spans="3:34" x14ac:dyDescent="0.25">
      <c r="C72" s="22"/>
      <c r="D72" s="22"/>
      <c r="T72" s="22"/>
      <c r="Y72" s="22"/>
    </row>
    <row r="73" spans="3:34" x14ac:dyDescent="0.25">
      <c r="C73" s="22"/>
      <c r="D73" s="22"/>
      <c r="T73" s="22"/>
      <c r="Y73" s="22"/>
    </row>
    <row r="74" spans="3:34" x14ac:dyDescent="0.25">
      <c r="C74" s="22"/>
      <c r="D74" s="22"/>
      <c r="T74" s="22"/>
      <c r="Y74" s="22"/>
    </row>
    <row r="75" spans="3:34" x14ac:dyDescent="0.25">
      <c r="C75" s="22"/>
      <c r="D75" s="22"/>
      <c r="T75" s="22"/>
      <c r="Y75" s="22"/>
    </row>
    <row r="76" spans="3:34" x14ac:dyDescent="0.25">
      <c r="C76" s="22"/>
      <c r="D76" s="22"/>
      <c r="T76" s="22"/>
      <c r="X76" s="22"/>
      <c r="Y76" s="22"/>
    </row>
    <row r="77" spans="3:34" x14ac:dyDescent="0.25">
      <c r="C77" s="22"/>
      <c r="D77" s="22"/>
      <c r="T77" s="22"/>
      <c r="Y77" s="22"/>
      <c r="AH77" s="22"/>
    </row>
    <row r="78" spans="3:34" x14ac:dyDescent="0.25">
      <c r="C78" s="22"/>
      <c r="D78" s="22"/>
      <c r="T78" s="22"/>
      <c r="Y78" s="22"/>
    </row>
    <row r="79" spans="3:34" x14ac:dyDescent="0.25">
      <c r="C79" s="22"/>
      <c r="D79" s="22"/>
      <c r="T79" s="22"/>
      <c r="X79" s="22"/>
      <c r="Y79" s="22"/>
    </row>
    <row r="80" spans="3:34" x14ac:dyDescent="0.25">
      <c r="C80" s="22"/>
      <c r="D80" s="22"/>
      <c r="T80" s="22"/>
      <c r="Y80" s="22"/>
    </row>
    <row r="81" spans="3:27" x14ac:dyDescent="0.25">
      <c r="C81" s="22"/>
      <c r="D81" s="22"/>
      <c r="T81" s="22"/>
      <c r="Y81" s="22"/>
    </row>
    <row r="82" spans="3:27" x14ac:dyDescent="0.25">
      <c r="C82" s="22"/>
      <c r="D82" s="22"/>
      <c r="T82" s="22"/>
      <c r="Y82" s="22"/>
    </row>
    <row r="83" spans="3:27" x14ac:dyDescent="0.25">
      <c r="C83" s="22"/>
      <c r="D83" s="22"/>
      <c r="T83" s="22"/>
      <c r="Y83" s="22"/>
    </row>
    <row r="84" spans="3:27" x14ac:dyDescent="0.25">
      <c r="C84" s="22"/>
      <c r="D84" s="22"/>
      <c r="T84" s="22"/>
      <c r="Y84" s="22"/>
    </row>
    <row r="85" spans="3:27" x14ac:dyDescent="0.25">
      <c r="C85" s="22"/>
      <c r="D85" s="22"/>
      <c r="T85" s="22"/>
      <c r="Y85" s="22"/>
    </row>
    <row r="86" spans="3:27" x14ac:dyDescent="0.25">
      <c r="C86" s="22"/>
      <c r="D86" s="22"/>
      <c r="T86" s="22"/>
      <c r="Y86" s="22"/>
    </row>
    <row r="87" spans="3:27" x14ac:dyDescent="0.25">
      <c r="C87" s="22"/>
      <c r="D87" s="22"/>
      <c r="T87" s="22"/>
      <c r="Y87" s="22"/>
    </row>
    <row r="88" spans="3:27" x14ac:dyDescent="0.25">
      <c r="C88" s="22"/>
      <c r="D88" s="22"/>
      <c r="T88" s="22"/>
      <c r="Y88" s="22"/>
    </row>
    <row r="89" spans="3:27" x14ac:dyDescent="0.25">
      <c r="C89" s="22"/>
      <c r="D89" s="22"/>
      <c r="T89" s="22"/>
      <c r="Y89" s="22"/>
    </row>
    <row r="90" spans="3:27" x14ac:dyDescent="0.25">
      <c r="C90" s="22"/>
      <c r="D90" s="22"/>
      <c r="T90" s="22"/>
      <c r="V90" s="22"/>
      <c r="Y90" s="22"/>
    </row>
    <row r="91" spans="3:27" x14ac:dyDescent="0.25">
      <c r="C91" s="22"/>
      <c r="D91" s="22"/>
      <c r="T91" s="22"/>
      <c r="Y91" s="22"/>
    </row>
    <row r="92" spans="3:27" x14ac:dyDescent="0.25">
      <c r="C92" s="22"/>
      <c r="D92" s="22"/>
      <c r="T92" s="22"/>
      <c r="V92" s="22"/>
      <c r="Y92" s="22"/>
      <c r="AA92" s="22"/>
    </row>
    <row r="93" spans="3:27" x14ac:dyDescent="0.25">
      <c r="C93" s="22"/>
      <c r="D93" s="22"/>
      <c r="T93" s="22"/>
      <c r="Y93" s="22"/>
    </row>
    <row r="94" spans="3:27" x14ac:dyDescent="0.25">
      <c r="C94" s="22"/>
      <c r="D94" s="22"/>
      <c r="T94" s="22"/>
      <c r="Y94" s="22"/>
    </row>
    <row r="95" spans="3:27" x14ac:dyDescent="0.25">
      <c r="C95" s="22"/>
      <c r="D95" s="22"/>
      <c r="T95" s="22"/>
      <c r="Y95" s="22"/>
    </row>
    <row r="96" spans="3:27" x14ac:dyDescent="0.25">
      <c r="C96" s="22"/>
      <c r="D96" s="22"/>
      <c r="T96" s="22"/>
      <c r="Y96" s="22"/>
    </row>
    <row r="97" spans="3:25" x14ac:dyDescent="0.25">
      <c r="C97" s="22"/>
      <c r="D97" s="22"/>
      <c r="T97" s="22"/>
      <c r="Y97" s="22"/>
    </row>
    <row r="98" spans="3:25" x14ac:dyDescent="0.25">
      <c r="C98" s="22"/>
      <c r="D98" s="22"/>
      <c r="T98" s="22"/>
      <c r="Y98" s="22"/>
    </row>
    <row r="99" spans="3:25" x14ac:dyDescent="0.25">
      <c r="C99" s="22"/>
      <c r="D99" s="22"/>
      <c r="T99" s="22"/>
      <c r="Y99" s="22"/>
    </row>
    <row r="100" spans="3:25" x14ac:dyDescent="0.25">
      <c r="C100" s="22"/>
      <c r="D100" s="22"/>
      <c r="T100" s="22"/>
      <c r="Y100" s="22"/>
    </row>
    <row r="101" spans="3:25" x14ac:dyDescent="0.25">
      <c r="C101" s="22"/>
      <c r="D101" s="22"/>
      <c r="T101" s="22"/>
      <c r="Y101" s="22"/>
    </row>
    <row r="102" spans="3:25" x14ac:dyDescent="0.25">
      <c r="C102" s="22"/>
      <c r="D102" s="22"/>
      <c r="T102" s="22"/>
      <c r="Y102" s="22"/>
    </row>
    <row r="103" spans="3:25" x14ac:dyDescent="0.25">
      <c r="C103" s="22"/>
      <c r="D103" s="22"/>
      <c r="T103" s="22"/>
      <c r="Y103" s="22"/>
    </row>
    <row r="104" spans="3:25" x14ac:dyDescent="0.25">
      <c r="C104" s="22"/>
      <c r="D104" s="22"/>
      <c r="T104" s="22"/>
      <c r="Y104" s="22"/>
    </row>
    <row r="105" spans="3:25" x14ac:dyDescent="0.25">
      <c r="C105" s="22"/>
      <c r="D105" s="22"/>
      <c r="T105" s="22"/>
      <c r="Y105" s="22"/>
    </row>
    <row r="106" spans="3:25" x14ac:dyDescent="0.25">
      <c r="C106" s="22"/>
      <c r="D106" s="22"/>
      <c r="T106" s="22"/>
      <c r="Y106" s="22"/>
    </row>
    <row r="107" spans="3:25" x14ac:dyDescent="0.25">
      <c r="C107" s="22"/>
      <c r="D107" s="22"/>
      <c r="T107" s="22"/>
      <c r="Y107" s="22"/>
    </row>
    <row r="108" spans="3:25" x14ac:dyDescent="0.25">
      <c r="C108" s="22"/>
      <c r="D108" s="22"/>
      <c r="T108" s="22"/>
      <c r="Y108" s="22"/>
    </row>
    <row r="109" spans="3:25" x14ac:dyDescent="0.25">
      <c r="C109" s="22"/>
      <c r="D109" s="22"/>
      <c r="H109" s="22"/>
      <c r="T109" s="22"/>
      <c r="Y109" s="22"/>
    </row>
    <row r="110" spans="3:25" x14ac:dyDescent="0.25">
      <c r="C110" s="22"/>
      <c r="D110" s="22"/>
      <c r="T110" s="22"/>
      <c r="Y110" s="22"/>
    </row>
    <row r="111" spans="3:25" x14ac:dyDescent="0.25">
      <c r="C111" s="22"/>
      <c r="D111" s="22"/>
      <c r="T111" s="22"/>
      <c r="Y111" s="22"/>
    </row>
    <row r="112" spans="3:25" x14ac:dyDescent="0.25">
      <c r="C112" s="22"/>
      <c r="D112" s="22"/>
      <c r="T112" s="22"/>
      <c r="Y112" s="22"/>
    </row>
    <row r="113" spans="3:25" x14ac:dyDescent="0.25">
      <c r="C113" s="22"/>
      <c r="D113" s="22"/>
      <c r="T113" s="22"/>
      <c r="X113" s="22"/>
      <c r="Y113" s="22"/>
    </row>
    <row r="114" spans="3:25" x14ac:dyDescent="0.25">
      <c r="C114" s="22"/>
      <c r="D114" s="22"/>
      <c r="T114" s="22"/>
      <c r="Y114" s="22"/>
    </row>
    <row r="115" spans="3:25" x14ac:dyDescent="0.25">
      <c r="C115" s="22"/>
      <c r="D115" s="22"/>
      <c r="T115" s="22"/>
      <c r="Y115" s="22"/>
    </row>
    <row r="116" spans="3:25" x14ac:dyDescent="0.25">
      <c r="C116" s="22"/>
      <c r="D116" s="22"/>
      <c r="T116" s="22"/>
      <c r="Y116" s="22"/>
    </row>
    <row r="117" spans="3:25" x14ac:dyDescent="0.25">
      <c r="C117" s="22"/>
      <c r="D117" s="22"/>
      <c r="T117" s="22"/>
      <c r="Y117" s="22"/>
    </row>
    <row r="118" spans="3:25" x14ac:dyDescent="0.25">
      <c r="C118" s="22"/>
      <c r="D118" s="22"/>
      <c r="T118" s="22"/>
      <c r="Y118" s="22"/>
    </row>
    <row r="119" spans="3:25" x14ac:dyDescent="0.25">
      <c r="C119" s="22"/>
      <c r="D119" s="22"/>
      <c r="T119" s="22"/>
      <c r="Y119" s="22"/>
    </row>
    <row r="120" spans="3:25" x14ac:dyDescent="0.25">
      <c r="C120" s="22"/>
      <c r="D120" s="22"/>
      <c r="T120" s="22"/>
      <c r="Y120" s="22"/>
    </row>
    <row r="121" spans="3:25" x14ac:dyDescent="0.25">
      <c r="C121" s="22"/>
      <c r="D121" s="22"/>
      <c r="T121" s="22"/>
      <c r="Y121" s="22"/>
    </row>
    <row r="122" spans="3:25" x14ac:dyDescent="0.25">
      <c r="C122" s="22"/>
      <c r="D122" s="22"/>
      <c r="T122" s="22"/>
      <c r="Y122" s="22"/>
    </row>
    <row r="123" spans="3:25" x14ac:dyDescent="0.25">
      <c r="C123" s="22"/>
      <c r="D123" s="22"/>
      <c r="T123" s="22"/>
      <c r="Y123" s="22"/>
    </row>
    <row r="124" spans="3:25" x14ac:dyDescent="0.25">
      <c r="C124" s="22"/>
      <c r="D124" s="22"/>
      <c r="T124" s="22"/>
      <c r="Y124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6:CS142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36" spans="47:47" x14ac:dyDescent="0.25">
      <c r="AU36" s="22"/>
    </row>
    <row r="49" spans="60:60" x14ac:dyDescent="0.25">
      <c r="BH49" s="22"/>
    </row>
    <row r="80" spans="4:4" x14ac:dyDescent="0.25">
      <c r="D80" s="22"/>
    </row>
    <row r="102" spans="2:2" x14ac:dyDescent="0.25">
      <c r="B102" s="22"/>
    </row>
    <row r="142" spans="67:97" x14ac:dyDescent="0.25">
      <c r="BO142" s="22"/>
      <c r="CS142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22:AL126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2" spans="3:29" x14ac:dyDescent="0.25">
      <c r="C22" s="22"/>
      <c r="D22" s="22"/>
      <c r="X22" s="22"/>
    </row>
    <row r="24" spans="3:29" x14ac:dyDescent="0.25">
      <c r="C24" s="22"/>
      <c r="U24" s="22"/>
    </row>
    <row r="25" spans="3:29" x14ac:dyDescent="0.25">
      <c r="C25" s="22"/>
      <c r="D25" s="22"/>
      <c r="T25" s="22"/>
      <c r="V25" s="22"/>
      <c r="AA25" s="22"/>
    </row>
    <row r="27" spans="3:29" x14ac:dyDescent="0.25">
      <c r="V27" s="22"/>
    </row>
    <row r="28" spans="3:29" x14ac:dyDescent="0.25">
      <c r="C28" s="22"/>
      <c r="D28" s="22"/>
      <c r="X28" s="22"/>
    </row>
    <row r="29" spans="3:29" x14ac:dyDescent="0.25">
      <c r="C29" s="22"/>
      <c r="D29" s="22"/>
      <c r="X29" s="22"/>
      <c r="AC29" s="22"/>
    </row>
    <row r="30" spans="3:29" x14ac:dyDescent="0.25">
      <c r="C30" s="22"/>
      <c r="D30" s="22"/>
      <c r="T30" s="22"/>
      <c r="X30" s="22"/>
    </row>
    <row r="32" spans="3:29" x14ac:dyDescent="0.25">
      <c r="C32" s="22"/>
    </row>
    <row r="39" spans="3:29" x14ac:dyDescent="0.25">
      <c r="C39" s="22"/>
    </row>
    <row r="42" spans="3:29" x14ac:dyDescent="0.25">
      <c r="C42" s="22"/>
      <c r="D42" s="22"/>
      <c r="T42" s="22"/>
    </row>
    <row r="43" spans="3:29" x14ac:dyDescent="0.25">
      <c r="C43" s="22"/>
    </row>
    <row r="45" spans="3:29" x14ac:dyDescent="0.25">
      <c r="C45" s="22"/>
      <c r="D45" s="22"/>
      <c r="T45" s="22"/>
      <c r="U45" s="22"/>
      <c r="X45" s="22"/>
      <c r="AC45" s="22"/>
    </row>
    <row r="52" spans="3:38" x14ac:dyDescent="0.25">
      <c r="C52" s="22"/>
      <c r="D52" s="22"/>
      <c r="V52" s="22"/>
      <c r="AA52" s="22"/>
    </row>
    <row r="54" spans="3:38" x14ac:dyDescent="0.25">
      <c r="C54" s="22"/>
      <c r="D54" s="22"/>
      <c r="V54" s="22"/>
      <c r="AA54" s="22"/>
    </row>
    <row r="57" spans="3:38" x14ac:dyDescent="0.25">
      <c r="H57" s="22"/>
    </row>
    <row r="58" spans="3:38" x14ac:dyDescent="0.25">
      <c r="C58" s="22"/>
      <c r="D58" s="22"/>
      <c r="T58" s="22"/>
    </row>
    <row r="59" spans="3:38" x14ac:dyDescent="0.25">
      <c r="C59" s="22"/>
      <c r="D59" s="22"/>
      <c r="T59" s="22"/>
      <c r="X59" s="22"/>
    </row>
    <row r="60" spans="3:38" x14ac:dyDescent="0.25">
      <c r="F60" s="22"/>
      <c r="AL60" s="22"/>
    </row>
    <row r="62" spans="3:38" x14ac:dyDescent="0.25">
      <c r="C62" s="22"/>
      <c r="D62" s="22"/>
    </row>
    <row r="63" spans="3:38" x14ac:dyDescent="0.25">
      <c r="I63" s="22"/>
    </row>
    <row r="66" spans="3:38" x14ac:dyDescent="0.25">
      <c r="H66" s="22"/>
    </row>
    <row r="67" spans="3:38" x14ac:dyDescent="0.25">
      <c r="AL67" s="22"/>
    </row>
    <row r="68" spans="3:38" x14ac:dyDescent="0.25">
      <c r="AL68" s="22"/>
    </row>
    <row r="75" spans="3:38" x14ac:dyDescent="0.25">
      <c r="AG75" s="22"/>
    </row>
    <row r="80" spans="3:38" x14ac:dyDescent="0.25">
      <c r="C80" s="22"/>
      <c r="D80" s="22"/>
      <c r="X80" s="22"/>
    </row>
    <row r="81" spans="3:34" x14ac:dyDescent="0.25">
      <c r="AH81" s="22"/>
    </row>
    <row r="83" spans="3:34" x14ac:dyDescent="0.25">
      <c r="C83" s="22"/>
      <c r="D83" s="22"/>
      <c r="X83" s="22"/>
    </row>
    <row r="86" spans="3:34" x14ac:dyDescent="0.25">
      <c r="C86" s="22"/>
      <c r="D86" s="22"/>
      <c r="T86" s="22"/>
      <c r="W86" s="22"/>
    </row>
    <row r="94" spans="3:34" x14ac:dyDescent="0.25">
      <c r="C94" s="22"/>
      <c r="V94" s="22"/>
    </row>
    <row r="96" spans="3:34" x14ac:dyDescent="0.25">
      <c r="C96" s="22"/>
      <c r="D96" s="22"/>
      <c r="V96" s="22"/>
      <c r="AA96" s="22"/>
    </row>
    <row r="100" spans="3:33" x14ac:dyDescent="0.25">
      <c r="C100" s="22"/>
      <c r="D100" s="22"/>
    </row>
    <row r="107" spans="3:33" x14ac:dyDescent="0.25">
      <c r="U107" s="22"/>
    </row>
    <row r="108" spans="3:33" x14ac:dyDescent="0.25">
      <c r="AG108" s="22"/>
    </row>
    <row r="118" spans="3:7" x14ac:dyDescent="0.25">
      <c r="C118" s="22"/>
      <c r="D118" s="22"/>
    </row>
    <row r="123" spans="3:7" x14ac:dyDescent="0.25">
      <c r="C123" s="22"/>
    </row>
    <row r="126" spans="3:7" x14ac:dyDescent="0.25">
      <c r="G126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AG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6" x14ac:dyDescent="0.25">
      <c r="C2" s="22"/>
      <c r="D2" s="22"/>
      <c r="T2" s="22"/>
      <c r="U2" s="22"/>
      <c r="Y2" s="22"/>
      <c r="Z2" s="22"/>
    </row>
    <row r="3" spans="3:26" x14ac:dyDescent="0.25">
      <c r="C3" s="22"/>
      <c r="D3" s="22"/>
      <c r="T3" s="22"/>
      <c r="U3" s="22"/>
      <c r="Y3" s="22"/>
      <c r="Z3" s="22"/>
    </row>
    <row r="4" spans="3:26" x14ac:dyDescent="0.25">
      <c r="C4" s="22"/>
      <c r="D4" s="22"/>
      <c r="U4" s="22"/>
      <c r="Z4" s="22"/>
    </row>
    <row r="5" spans="3:26" x14ac:dyDescent="0.25">
      <c r="C5" s="22"/>
      <c r="D5" s="22"/>
      <c r="T5" s="22"/>
      <c r="U5" s="22"/>
      <c r="Z5" s="22"/>
    </row>
    <row r="7" spans="3:26" x14ac:dyDescent="0.25">
      <c r="C7" s="22"/>
      <c r="D7" s="22"/>
      <c r="T7" s="22"/>
      <c r="Y7" s="22"/>
    </row>
    <row r="8" spans="3:26" x14ac:dyDescent="0.25">
      <c r="T8" s="22"/>
    </row>
    <row r="9" spans="3:26" x14ac:dyDescent="0.25">
      <c r="C9" s="22"/>
      <c r="D9" s="22"/>
      <c r="T9" s="22"/>
      <c r="U9" s="22"/>
      <c r="Y9" s="22"/>
      <c r="Z9" s="22"/>
    </row>
    <row r="10" spans="3:26" x14ac:dyDescent="0.25">
      <c r="C10" s="22"/>
      <c r="D10" s="22"/>
      <c r="T10" s="22"/>
      <c r="U10" s="22"/>
      <c r="Z10" s="22"/>
    </row>
    <row r="11" spans="3:26" x14ac:dyDescent="0.25">
      <c r="C11" s="22"/>
      <c r="D11" s="22"/>
      <c r="T11" s="22"/>
      <c r="Y11" s="22"/>
    </row>
    <row r="12" spans="3:26" x14ac:dyDescent="0.25">
      <c r="C12" s="22"/>
      <c r="D12" s="22"/>
      <c r="T12" s="22"/>
      <c r="Y12" s="22"/>
    </row>
    <row r="13" spans="3:26" x14ac:dyDescent="0.25">
      <c r="C13" s="22"/>
      <c r="D13" s="22"/>
      <c r="U13" s="22"/>
      <c r="Z13" s="22"/>
    </row>
    <row r="14" spans="3:26" x14ac:dyDescent="0.25">
      <c r="C14" s="22"/>
      <c r="D14" s="22"/>
      <c r="T14" s="22"/>
      <c r="U14" s="22"/>
      <c r="Y14" s="22"/>
      <c r="Z14" s="22"/>
    </row>
    <row r="16" spans="3:26" x14ac:dyDescent="0.25">
      <c r="C16" s="22"/>
      <c r="D16" s="22"/>
      <c r="U16" s="22"/>
      <c r="Z16" s="22"/>
    </row>
    <row r="17" spans="3:33" x14ac:dyDescent="0.25">
      <c r="C17" s="22"/>
      <c r="D17" s="22"/>
      <c r="U17" s="22"/>
      <c r="Z17" s="22"/>
    </row>
    <row r="18" spans="3:33" x14ac:dyDescent="0.25">
      <c r="C18" s="22"/>
      <c r="D18" s="22"/>
      <c r="V18" s="22"/>
    </row>
    <row r="19" spans="3:33" x14ac:dyDescent="0.25">
      <c r="T19" s="22"/>
      <c r="Y19" s="22"/>
    </row>
    <row r="20" spans="3:33" x14ac:dyDescent="0.25">
      <c r="C20" s="22"/>
      <c r="D20" s="22"/>
    </row>
    <row r="21" spans="3:33" x14ac:dyDescent="0.25">
      <c r="C21" s="22"/>
      <c r="D21" s="22"/>
      <c r="U21" s="22"/>
      <c r="Z21" s="22"/>
      <c r="AG21" s="22"/>
    </row>
    <row r="22" spans="3:33" x14ac:dyDescent="0.25">
      <c r="C22" s="22"/>
      <c r="D22" s="22"/>
      <c r="T22" s="22"/>
      <c r="U22" s="22"/>
      <c r="X22" s="22"/>
      <c r="Y22" s="22"/>
      <c r="Z22" s="22"/>
    </row>
    <row r="23" spans="3:33" x14ac:dyDescent="0.25">
      <c r="C23" s="22"/>
      <c r="D23" s="22"/>
      <c r="T23" s="22"/>
      <c r="Y23" s="22"/>
    </row>
    <row r="24" spans="3:33" x14ac:dyDescent="0.25">
      <c r="C24" s="22"/>
      <c r="D24" s="22"/>
      <c r="T24" s="22"/>
      <c r="U24" s="22"/>
      <c r="X24" s="22"/>
      <c r="Y24" s="22"/>
      <c r="Z24" s="22"/>
    </row>
    <row r="25" spans="3:33" x14ac:dyDescent="0.25">
      <c r="C25" s="22"/>
      <c r="D25" s="22"/>
      <c r="V25" s="22"/>
      <c r="AA25" s="22"/>
    </row>
    <row r="26" spans="3:33" x14ac:dyDescent="0.25">
      <c r="C26" s="22"/>
      <c r="D26" s="22"/>
      <c r="T26" s="22"/>
      <c r="U26" s="22"/>
      <c r="Y26" s="22"/>
      <c r="Z26" s="22"/>
    </row>
    <row r="27" spans="3:33" x14ac:dyDescent="0.25">
      <c r="C27" s="22"/>
      <c r="D27" s="22"/>
      <c r="T27" s="22"/>
      <c r="U27" s="22"/>
      <c r="V27" s="22"/>
      <c r="Y27" s="22"/>
      <c r="Z27" s="22"/>
    </row>
    <row r="28" spans="3:33" x14ac:dyDescent="0.25">
      <c r="C28" s="22"/>
      <c r="D28" s="22"/>
      <c r="U28" s="22"/>
      <c r="Z28" s="22"/>
    </row>
    <row r="29" spans="3:33" x14ac:dyDescent="0.25">
      <c r="C29" s="22"/>
      <c r="D29" s="22"/>
      <c r="U29" s="22"/>
      <c r="X29" s="22"/>
    </row>
    <row r="30" spans="3:33" x14ac:dyDescent="0.25">
      <c r="C30" s="22"/>
      <c r="D30" s="22"/>
      <c r="T30" s="22"/>
      <c r="U30" s="22"/>
      <c r="Y30" s="22"/>
      <c r="Z30" s="22"/>
    </row>
    <row r="32" spans="3:33" x14ac:dyDescent="0.25">
      <c r="C32" s="22"/>
      <c r="D32" s="22"/>
      <c r="T32" s="22"/>
      <c r="U32" s="22"/>
      <c r="Y32" s="22"/>
      <c r="Z32" s="22"/>
    </row>
    <row r="33" spans="3:29" x14ac:dyDescent="0.25">
      <c r="C33" s="22"/>
      <c r="D33" s="22"/>
      <c r="T33" s="22"/>
      <c r="U33" s="22"/>
      <c r="Y33" s="22"/>
      <c r="Z33" s="22"/>
    </row>
    <row r="34" spans="3:29" x14ac:dyDescent="0.25">
      <c r="C34" s="22"/>
      <c r="D34" s="22"/>
      <c r="U34" s="22"/>
      <c r="Z34" s="22"/>
    </row>
    <row r="35" spans="3:29" x14ac:dyDescent="0.25">
      <c r="C35" s="22"/>
      <c r="D35" s="22"/>
      <c r="U35" s="22"/>
      <c r="Z35" s="22"/>
    </row>
    <row r="36" spans="3:29" x14ac:dyDescent="0.25">
      <c r="C36" s="22"/>
      <c r="D36" s="22"/>
      <c r="U36" s="22"/>
    </row>
    <row r="37" spans="3:29" x14ac:dyDescent="0.25">
      <c r="C37" s="22"/>
      <c r="D37" s="22"/>
      <c r="U37" s="22"/>
      <c r="Z37" s="22"/>
    </row>
    <row r="38" spans="3:29" x14ac:dyDescent="0.25">
      <c r="C38" s="22"/>
      <c r="D38" s="22"/>
      <c r="T38" s="22"/>
      <c r="U38" s="22"/>
      <c r="Z38" s="22"/>
    </row>
    <row r="39" spans="3:29" x14ac:dyDescent="0.25">
      <c r="C39" s="22"/>
      <c r="D39" s="22"/>
      <c r="T39" s="22"/>
      <c r="U39" s="22"/>
      <c r="Z39" s="22"/>
    </row>
    <row r="41" spans="3:29" x14ac:dyDescent="0.25">
      <c r="C41" s="22"/>
      <c r="D41" s="22"/>
    </row>
    <row r="42" spans="3:29" x14ac:dyDescent="0.25">
      <c r="C42" s="22"/>
      <c r="D42" s="22"/>
    </row>
    <row r="43" spans="3:29" x14ac:dyDescent="0.25">
      <c r="C43" s="22"/>
      <c r="D43" s="22"/>
      <c r="W43" s="22"/>
    </row>
    <row r="44" spans="3:29" x14ac:dyDescent="0.25">
      <c r="C44" s="22"/>
      <c r="D44" s="22"/>
      <c r="U44" s="22"/>
      <c r="Z44" s="22"/>
    </row>
    <row r="45" spans="3:29" x14ac:dyDescent="0.25">
      <c r="C45" s="22"/>
      <c r="D45" s="22"/>
      <c r="U45" s="22"/>
      <c r="X45" s="22"/>
      <c r="Z45" s="22"/>
      <c r="AC45" s="22"/>
    </row>
    <row r="46" spans="3:29" x14ac:dyDescent="0.25">
      <c r="C46" s="22"/>
      <c r="D46" s="22"/>
      <c r="X46" s="22"/>
    </row>
    <row r="49" spans="3:27" x14ac:dyDescent="0.25">
      <c r="C49" s="22"/>
      <c r="D49" s="22"/>
      <c r="U49" s="22"/>
      <c r="Z49" s="22"/>
    </row>
    <row r="50" spans="3:27" x14ac:dyDescent="0.25">
      <c r="C50" s="22"/>
      <c r="D50" s="22"/>
      <c r="U50" s="22"/>
      <c r="Z50" s="22"/>
    </row>
    <row r="51" spans="3:27" x14ac:dyDescent="0.25">
      <c r="C51" s="22"/>
      <c r="D51" s="22"/>
      <c r="U51" s="22"/>
      <c r="Z51" s="22"/>
    </row>
    <row r="52" spans="3:27" x14ac:dyDescent="0.25">
      <c r="C52" s="22"/>
      <c r="D52" s="22"/>
      <c r="U52" s="22"/>
      <c r="V52" s="22"/>
      <c r="Z52" s="22"/>
    </row>
    <row r="54" spans="3:27" x14ac:dyDescent="0.25">
      <c r="C54" s="22"/>
      <c r="D54" s="22"/>
      <c r="T54" s="22"/>
      <c r="U54" s="22"/>
      <c r="V54" s="22"/>
      <c r="Y54" s="22"/>
      <c r="Z54" s="22"/>
      <c r="AA54" s="22"/>
    </row>
    <row r="55" spans="3:27" x14ac:dyDescent="0.25">
      <c r="C55" s="22"/>
      <c r="D55" s="22"/>
      <c r="U55" s="22"/>
      <c r="Z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U57" s="22"/>
      <c r="Z57" s="22"/>
    </row>
    <row r="58" spans="3:27" x14ac:dyDescent="0.25">
      <c r="C58" s="22"/>
      <c r="D58" s="22"/>
      <c r="T58" s="22"/>
      <c r="Y58" s="22"/>
    </row>
    <row r="59" spans="3:27" x14ac:dyDescent="0.25">
      <c r="C59" s="22"/>
      <c r="D59" s="22"/>
      <c r="T59" s="22"/>
      <c r="U59" s="22"/>
      <c r="X59" s="22"/>
      <c r="Y59" s="22"/>
      <c r="Z59" s="22"/>
    </row>
    <row r="60" spans="3:27" x14ac:dyDescent="0.25">
      <c r="C60" s="22"/>
      <c r="D60" s="22"/>
      <c r="T60" s="22"/>
      <c r="Y60" s="22"/>
    </row>
    <row r="62" spans="3:27" x14ac:dyDescent="0.25">
      <c r="C62" s="22"/>
      <c r="D62" s="22"/>
      <c r="T62" s="22"/>
      <c r="U62" s="22"/>
      <c r="Y62" s="22"/>
      <c r="Z62" s="22"/>
    </row>
    <row r="65" spans="3:26" x14ac:dyDescent="0.25">
      <c r="C65" s="22"/>
      <c r="D65" s="22"/>
      <c r="H65" s="22"/>
      <c r="T65" s="22"/>
      <c r="Y65" s="22"/>
    </row>
    <row r="67" spans="3:26" x14ac:dyDescent="0.25">
      <c r="C67" s="22"/>
      <c r="D67" s="22"/>
      <c r="T67" s="22"/>
      <c r="U67" s="22"/>
      <c r="Y67" s="22"/>
      <c r="Z67" s="22"/>
    </row>
    <row r="68" spans="3:26" x14ac:dyDescent="0.25">
      <c r="C68" s="22"/>
      <c r="D68" s="22"/>
      <c r="T68" s="22"/>
      <c r="Y68" s="22"/>
    </row>
    <row r="72" spans="3:26" x14ac:dyDescent="0.25">
      <c r="C72" s="22"/>
      <c r="D72" s="22"/>
    </row>
    <row r="74" spans="3:26" x14ac:dyDescent="0.25">
      <c r="C74" s="22"/>
      <c r="D74" s="22"/>
    </row>
    <row r="75" spans="3:26" x14ac:dyDescent="0.25">
      <c r="C75" s="22"/>
      <c r="D75" s="22"/>
      <c r="T75" s="22"/>
      <c r="Y75" s="22"/>
    </row>
    <row r="76" spans="3:26" x14ac:dyDescent="0.25">
      <c r="C76" s="22"/>
      <c r="D76" s="22"/>
      <c r="T76" s="22"/>
      <c r="Y76" s="22"/>
    </row>
    <row r="77" spans="3:26" x14ac:dyDescent="0.25">
      <c r="C77" s="22"/>
      <c r="D77" s="22"/>
      <c r="T77" s="22"/>
      <c r="Y77" s="22"/>
    </row>
    <row r="78" spans="3:26" x14ac:dyDescent="0.25">
      <c r="C78" s="22"/>
      <c r="D78" s="22"/>
      <c r="U78" s="22"/>
      <c r="Z78" s="22"/>
    </row>
    <row r="79" spans="3:26" x14ac:dyDescent="0.25">
      <c r="C79" s="22"/>
      <c r="D79" s="22"/>
      <c r="T79" s="22"/>
      <c r="X79" s="22"/>
      <c r="Y79" s="22"/>
    </row>
    <row r="80" spans="3:26" x14ac:dyDescent="0.25">
      <c r="C80" s="22"/>
      <c r="D80" s="22"/>
      <c r="T80" s="22"/>
      <c r="Y80" s="22"/>
    </row>
    <row r="81" spans="3:33" x14ac:dyDescent="0.25">
      <c r="C81" s="22"/>
      <c r="D81" s="22"/>
      <c r="H81" s="22"/>
      <c r="T81" s="22"/>
      <c r="Y81" s="22"/>
    </row>
    <row r="83" spans="3:33" x14ac:dyDescent="0.25">
      <c r="C83" s="22"/>
      <c r="D83" s="22"/>
      <c r="T83" s="22"/>
      <c r="Y83" s="22"/>
    </row>
    <row r="84" spans="3:33" x14ac:dyDescent="0.25">
      <c r="C84" s="22"/>
      <c r="D84" s="22"/>
      <c r="T84" s="22"/>
      <c r="Y84" s="22"/>
    </row>
    <row r="85" spans="3:33" x14ac:dyDescent="0.25">
      <c r="C85" s="22"/>
      <c r="D85" s="22"/>
      <c r="T85" s="22"/>
      <c r="U85" s="22"/>
      <c r="Y85" s="22"/>
      <c r="Z85" s="22"/>
    </row>
    <row r="86" spans="3:33" x14ac:dyDescent="0.25">
      <c r="C86" s="22"/>
      <c r="D86" s="22"/>
      <c r="T86" s="22"/>
      <c r="W86" s="22"/>
      <c r="Y86" s="22"/>
    </row>
    <row r="88" spans="3:33" x14ac:dyDescent="0.25">
      <c r="C88" s="22"/>
      <c r="D88" s="22"/>
      <c r="T88" s="22"/>
      <c r="Y88" s="22"/>
    </row>
    <row r="90" spans="3:33" x14ac:dyDescent="0.25">
      <c r="C90" s="22"/>
      <c r="D90" s="22"/>
      <c r="T90" s="22"/>
      <c r="Y90" s="22"/>
    </row>
    <row r="92" spans="3:33" x14ac:dyDescent="0.25">
      <c r="C92" s="22"/>
      <c r="D92" s="22"/>
      <c r="T92" s="22"/>
      <c r="U92" s="22"/>
      <c r="Y92" s="22"/>
      <c r="Z92" s="22"/>
    </row>
    <row r="93" spans="3:33" x14ac:dyDescent="0.25">
      <c r="C93" s="22"/>
      <c r="D93" s="22"/>
    </row>
    <row r="94" spans="3:33" x14ac:dyDescent="0.25">
      <c r="C94" s="22"/>
      <c r="D94" s="22"/>
      <c r="V94" s="22"/>
    </row>
    <row r="95" spans="3:33" x14ac:dyDescent="0.25">
      <c r="C95" s="22"/>
      <c r="D95" s="22"/>
      <c r="T95" s="22"/>
      <c r="Y95" s="22"/>
    </row>
    <row r="96" spans="3:33" x14ac:dyDescent="0.25">
      <c r="C96" s="22"/>
      <c r="D96" s="22"/>
      <c r="T96" s="22"/>
      <c r="V96" s="22"/>
      <c r="Y96" s="22"/>
      <c r="AA96" s="22"/>
      <c r="AG96" s="22"/>
    </row>
    <row r="97" spans="3:26" x14ac:dyDescent="0.25">
      <c r="C97" s="22"/>
      <c r="D97" s="22"/>
      <c r="T97" s="22"/>
      <c r="Y97" s="22"/>
    </row>
    <row r="98" spans="3:26" x14ac:dyDescent="0.25">
      <c r="C98" s="22"/>
      <c r="D98" s="22"/>
      <c r="T98" s="22"/>
      <c r="Y98" s="22"/>
    </row>
    <row r="99" spans="3:26" x14ac:dyDescent="0.25">
      <c r="C99" s="22"/>
      <c r="D99" s="22"/>
      <c r="T99" s="22"/>
      <c r="Y99" s="22"/>
    </row>
    <row r="100" spans="3:26" x14ac:dyDescent="0.25">
      <c r="C100" s="22"/>
      <c r="D100" s="22"/>
      <c r="U100" s="22"/>
      <c r="Z100" s="22"/>
    </row>
    <row r="101" spans="3:26" x14ac:dyDescent="0.25">
      <c r="C101" s="22"/>
      <c r="D101" s="22"/>
      <c r="T101" s="22"/>
      <c r="U101" s="22"/>
      <c r="Z101" s="22"/>
    </row>
    <row r="103" spans="3:26" x14ac:dyDescent="0.25">
      <c r="T103" s="22"/>
      <c r="Y103" s="22"/>
    </row>
    <row r="105" spans="3:26" x14ac:dyDescent="0.25">
      <c r="C105" s="22"/>
      <c r="D105" s="22"/>
      <c r="T105" s="22"/>
      <c r="U105" s="22"/>
      <c r="Y105" s="22"/>
      <c r="Z105" s="22"/>
    </row>
    <row r="106" spans="3:26" x14ac:dyDescent="0.25">
      <c r="C106" s="22"/>
      <c r="D106" s="22"/>
      <c r="T106" s="22"/>
      <c r="U106" s="22"/>
      <c r="Y106" s="22"/>
      <c r="Z106" s="22"/>
    </row>
    <row r="107" spans="3:26" x14ac:dyDescent="0.25">
      <c r="C107" s="22"/>
      <c r="D107" s="22"/>
      <c r="T107" s="22"/>
      <c r="U107" s="22"/>
      <c r="Y107" s="22"/>
      <c r="Z107" s="22"/>
    </row>
    <row r="108" spans="3:26" x14ac:dyDescent="0.25">
      <c r="C108" s="22"/>
      <c r="D108" s="22"/>
      <c r="T108" s="22"/>
      <c r="U108" s="22"/>
      <c r="Y108" s="22"/>
      <c r="Z108" s="22"/>
    </row>
    <row r="110" spans="3:26" x14ac:dyDescent="0.25">
      <c r="C110" s="22"/>
      <c r="D110" s="22"/>
      <c r="U110" s="22"/>
      <c r="Z110" s="22"/>
    </row>
    <row r="111" spans="3:26" x14ac:dyDescent="0.25">
      <c r="C111" s="22"/>
      <c r="D111" s="22"/>
      <c r="U111" s="22"/>
      <c r="Z111" s="22"/>
    </row>
    <row r="113" spans="3:26" x14ac:dyDescent="0.25">
      <c r="C113" s="22"/>
      <c r="D113" s="22"/>
      <c r="U113" s="22"/>
      <c r="Z113" s="22"/>
    </row>
    <row r="114" spans="3:26" x14ac:dyDescent="0.25">
      <c r="U114" s="22"/>
    </row>
    <row r="115" spans="3:26" x14ac:dyDescent="0.25">
      <c r="C115" s="22"/>
      <c r="D115" s="22"/>
      <c r="U115" s="22"/>
      <c r="Z115" s="22"/>
    </row>
    <row r="116" spans="3:26" x14ac:dyDescent="0.25">
      <c r="C116" s="22"/>
      <c r="D116" s="22"/>
      <c r="U116" s="22"/>
      <c r="Z116" s="22"/>
    </row>
    <row r="117" spans="3:26" x14ac:dyDescent="0.25">
      <c r="C117" s="22"/>
      <c r="D117" s="22"/>
      <c r="U117" s="22"/>
      <c r="Z117" s="22"/>
    </row>
    <row r="118" spans="3:26" x14ac:dyDescent="0.25">
      <c r="C118" s="22"/>
      <c r="D118" s="22"/>
      <c r="T118" s="22"/>
      <c r="U118" s="22"/>
      <c r="Y118" s="22"/>
      <c r="Z118" s="22"/>
    </row>
    <row r="119" spans="3:26" x14ac:dyDescent="0.25">
      <c r="C119" s="22"/>
      <c r="D119" s="22"/>
      <c r="T119" s="22"/>
      <c r="U119" s="22"/>
      <c r="Y119" s="22"/>
      <c r="Z119" s="22"/>
    </row>
    <row r="121" spans="3:26" x14ac:dyDescent="0.25">
      <c r="C121" s="22"/>
      <c r="D121" s="22"/>
      <c r="T121" s="22"/>
      <c r="Y121" s="22"/>
    </row>
    <row r="122" spans="3:26" x14ac:dyDescent="0.25">
      <c r="C122" s="22"/>
      <c r="D122" s="22"/>
      <c r="T122" s="22"/>
      <c r="U122" s="22"/>
      <c r="Y122" s="22"/>
      <c r="Z122" s="22"/>
    </row>
    <row r="123" spans="3:26" x14ac:dyDescent="0.25">
      <c r="C123" s="22"/>
      <c r="D123" s="22"/>
      <c r="T123" s="22"/>
      <c r="U123" s="22"/>
      <c r="Y123" s="22"/>
      <c r="Z123" s="22"/>
    </row>
    <row r="124" spans="3:26" x14ac:dyDescent="0.25">
      <c r="C124" s="22"/>
      <c r="D124" s="22"/>
      <c r="T124" s="22"/>
      <c r="U124" s="22"/>
      <c r="Y124" s="22"/>
      <c r="Z124" s="22"/>
    </row>
    <row r="125" spans="3:26" x14ac:dyDescent="0.25">
      <c r="C125" s="22"/>
      <c r="D125" s="22"/>
      <c r="T125" s="22"/>
      <c r="U125" s="22"/>
      <c r="Y125" s="22"/>
      <c r="Z125" s="22"/>
    </row>
    <row r="126" spans="3:26" x14ac:dyDescent="0.25">
      <c r="C126" s="22"/>
      <c r="D126" s="22"/>
      <c r="T126" s="22"/>
      <c r="U126" s="22"/>
      <c r="Y126" s="22"/>
      <c r="Z126" s="22"/>
    </row>
    <row r="127" spans="3:26" x14ac:dyDescent="0.25">
      <c r="H127" s="22"/>
    </row>
    <row r="128" spans="3:26" x14ac:dyDescent="0.25">
      <c r="C128" s="22"/>
      <c r="D128" s="22"/>
      <c r="U128" s="22"/>
      <c r="Z128" s="22"/>
    </row>
    <row r="129" spans="3:3" x14ac:dyDescent="0.25">
      <c r="C129" s="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activeCell="K23" sqref="K23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BD126"/>
  <sheetViews>
    <sheetView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2" spans="3:44" x14ac:dyDescent="0.25">
      <c r="C2" s="22"/>
      <c r="D2" s="22"/>
      <c r="AD2" s="22"/>
      <c r="AH2" s="22"/>
      <c r="AL2" s="22"/>
      <c r="AP2" s="22"/>
    </row>
    <row r="3" spans="3:44" x14ac:dyDescent="0.25">
      <c r="C3" s="22"/>
      <c r="D3" s="22"/>
      <c r="AD3" s="22"/>
      <c r="AL3" s="22"/>
    </row>
    <row r="6" spans="3:44" x14ac:dyDescent="0.25">
      <c r="C6" s="22"/>
    </row>
    <row r="9" spans="3:44" x14ac:dyDescent="0.25">
      <c r="C9" s="22"/>
      <c r="D9" s="22"/>
      <c r="AD9" s="22"/>
      <c r="AH9" s="22"/>
      <c r="AL9" s="22"/>
      <c r="AP9" s="22"/>
    </row>
    <row r="10" spans="3:44" x14ac:dyDescent="0.25">
      <c r="C10" s="22"/>
      <c r="D10" s="22"/>
      <c r="AH10" s="22"/>
      <c r="AP10" s="22"/>
    </row>
    <row r="12" spans="3:44" x14ac:dyDescent="0.25">
      <c r="C12" s="22"/>
      <c r="D12" s="22"/>
      <c r="AH12" s="22"/>
      <c r="AP12" s="22"/>
    </row>
    <row r="14" spans="3:44" x14ac:dyDescent="0.25">
      <c r="C14" s="22"/>
      <c r="D14" s="22"/>
      <c r="AH14" s="22"/>
      <c r="AI14" s="22"/>
      <c r="AJ14" s="22"/>
      <c r="AP14" s="22"/>
      <c r="AQ14" s="22"/>
      <c r="AR14" s="22"/>
    </row>
    <row r="18" spans="3:42" x14ac:dyDescent="0.25">
      <c r="C18" s="22"/>
      <c r="D18" s="22"/>
      <c r="AH18" s="22"/>
    </row>
    <row r="19" spans="3:42" x14ac:dyDescent="0.25">
      <c r="C19" s="22"/>
      <c r="D19" s="22"/>
      <c r="AH19" s="22"/>
    </row>
    <row r="20" spans="3:42" x14ac:dyDescent="0.25">
      <c r="C20" s="22"/>
    </row>
    <row r="22" spans="3:42" x14ac:dyDescent="0.25">
      <c r="C22" s="22"/>
      <c r="D22" s="22"/>
      <c r="AG22" s="22"/>
    </row>
    <row r="24" spans="3:42" x14ac:dyDescent="0.25">
      <c r="C24" s="22"/>
      <c r="D24" s="22"/>
      <c r="AC24" s="22"/>
      <c r="AK24" s="22"/>
    </row>
    <row r="25" spans="3:42" x14ac:dyDescent="0.25">
      <c r="C25" s="22"/>
      <c r="D25" s="22"/>
      <c r="AE25" s="22"/>
      <c r="AM25" s="22"/>
    </row>
    <row r="26" spans="3:42" x14ac:dyDescent="0.25">
      <c r="AH26" s="22"/>
      <c r="AP26" s="22"/>
    </row>
    <row r="27" spans="3:42" x14ac:dyDescent="0.25">
      <c r="C27" s="22"/>
      <c r="D27" s="22"/>
      <c r="AE27" s="22"/>
      <c r="AH27" s="22"/>
      <c r="AP27" s="22"/>
    </row>
    <row r="28" spans="3:42" x14ac:dyDescent="0.25">
      <c r="C28" s="22"/>
      <c r="D28" s="22"/>
      <c r="AG28" s="22"/>
    </row>
    <row r="29" spans="3:42" x14ac:dyDescent="0.25">
      <c r="C29" s="22"/>
      <c r="D29" s="22"/>
      <c r="AG29" s="22"/>
      <c r="AO29" s="22"/>
    </row>
    <row r="30" spans="3:42" x14ac:dyDescent="0.25">
      <c r="C30" s="22"/>
      <c r="D30" s="22"/>
      <c r="AG30" s="22"/>
      <c r="AO30" s="22"/>
    </row>
    <row r="44" spans="3:41" x14ac:dyDescent="0.25">
      <c r="C44" s="22"/>
      <c r="D44" s="22"/>
      <c r="AD44" s="22"/>
      <c r="AL44" s="22"/>
    </row>
    <row r="45" spans="3:41" x14ac:dyDescent="0.25">
      <c r="C45" s="22"/>
      <c r="D45" s="22"/>
      <c r="AG45" s="22"/>
      <c r="AO45" s="22"/>
    </row>
    <row r="46" spans="3:41" x14ac:dyDescent="0.25">
      <c r="C46" s="22"/>
      <c r="D46" s="22"/>
      <c r="AC46" s="22"/>
      <c r="AD46" s="22"/>
      <c r="AK46" s="22"/>
      <c r="AL46" s="22"/>
    </row>
    <row r="47" spans="3:41" x14ac:dyDescent="0.25">
      <c r="I47" s="22"/>
      <c r="AD47" s="22"/>
    </row>
    <row r="49" spans="3:56" x14ac:dyDescent="0.25">
      <c r="C49" s="22"/>
      <c r="D49" s="22"/>
      <c r="AH49" s="22"/>
    </row>
    <row r="52" spans="3:56" x14ac:dyDescent="0.25">
      <c r="C52" s="22"/>
      <c r="D52" s="22"/>
      <c r="AE52" s="22"/>
      <c r="AM52" s="22"/>
    </row>
    <row r="54" spans="3:56" x14ac:dyDescent="0.25">
      <c r="C54" s="22"/>
      <c r="D54" s="22"/>
      <c r="AE54" s="22"/>
      <c r="AM54" s="22"/>
    </row>
    <row r="57" spans="3:56" x14ac:dyDescent="0.25">
      <c r="AH57" s="22"/>
    </row>
    <row r="59" spans="3:56" x14ac:dyDescent="0.25">
      <c r="C59" s="22"/>
      <c r="D59" s="22"/>
      <c r="AG59" s="22"/>
    </row>
    <row r="60" spans="3:56" x14ac:dyDescent="0.25">
      <c r="C60" s="22"/>
      <c r="D60" s="22"/>
      <c r="AH60" s="22"/>
      <c r="AI60" s="22"/>
      <c r="AJ60" s="22"/>
      <c r="AP60" s="22"/>
      <c r="AQ60" s="22"/>
      <c r="AR60" s="22"/>
      <c r="BD60" s="22"/>
    </row>
    <row r="61" spans="3:56" x14ac:dyDescent="0.25">
      <c r="C61" s="22"/>
      <c r="D61" s="22"/>
      <c r="AH61" s="22"/>
      <c r="AP61" s="22"/>
    </row>
    <row r="62" spans="3:56" x14ac:dyDescent="0.25">
      <c r="C62" s="22"/>
      <c r="D62" s="22"/>
    </row>
    <row r="63" spans="3:56" x14ac:dyDescent="0.25">
      <c r="C63" s="22"/>
      <c r="D63" s="22"/>
      <c r="I63" s="22"/>
      <c r="AH63" s="22"/>
      <c r="AP63" s="22"/>
    </row>
    <row r="66" spans="3:56" x14ac:dyDescent="0.25">
      <c r="H66" s="22"/>
    </row>
    <row r="67" spans="3:56" x14ac:dyDescent="0.25">
      <c r="C67" s="22"/>
      <c r="D67" s="22"/>
      <c r="AH67" s="22"/>
      <c r="AI67" s="22"/>
      <c r="AP67" s="22"/>
      <c r="BD67" s="22"/>
    </row>
    <row r="71" spans="3:56" x14ac:dyDescent="0.25">
      <c r="C71" s="22"/>
      <c r="D71" s="22"/>
    </row>
    <row r="75" spans="3:56" x14ac:dyDescent="0.25">
      <c r="C75" s="22"/>
      <c r="D75" s="22"/>
      <c r="AH75" s="22"/>
      <c r="AJ75" s="22"/>
      <c r="AP75" s="22"/>
      <c r="AR75" s="22"/>
      <c r="AV75" s="22"/>
    </row>
    <row r="76" spans="3:56" x14ac:dyDescent="0.25">
      <c r="C76" s="22"/>
      <c r="D76" s="22"/>
      <c r="AH76" s="22"/>
      <c r="AP76" s="22"/>
    </row>
    <row r="77" spans="3:56" x14ac:dyDescent="0.25">
      <c r="C77" s="22"/>
      <c r="D77" s="22"/>
      <c r="AC77" s="22"/>
      <c r="AD77" s="22"/>
      <c r="AH77" s="22"/>
      <c r="AK77" s="22"/>
      <c r="AP77" s="22"/>
    </row>
    <row r="79" spans="3:56" x14ac:dyDescent="0.25">
      <c r="C79" s="22"/>
    </row>
    <row r="80" spans="3:56" x14ac:dyDescent="0.25">
      <c r="C80" s="22"/>
      <c r="D80" s="22"/>
      <c r="AG80" s="22"/>
      <c r="AH80" s="22"/>
      <c r="AP80" s="22"/>
    </row>
    <row r="81" spans="3:42" x14ac:dyDescent="0.25">
      <c r="C81" s="22"/>
      <c r="D81" s="22"/>
    </row>
    <row r="82" spans="3:42" x14ac:dyDescent="0.25">
      <c r="C82" s="22"/>
    </row>
    <row r="83" spans="3:42" x14ac:dyDescent="0.25">
      <c r="C83" s="22"/>
      <c r="D83" s="22"/>
      <c r="AG83" s="22"/>
      <c r="AH83" s="22"/>
      <c r="AO83" s="22"/>
      <c r="AP83" s="22"/>
    </row>
    <row r="85" spans="3:42" x14ac:dyDescent="0.25">
      <c r="C85" s="22"/>
      <c r="D85" s="22"/>
      <c r="AD85" s="22"/>
      <c r="AL85" s="22"/>
    </row>
    <row r="86" spans="3:42" x14ac:dyDescent="0.25">
      <c r="C86" s="22"/>
      <c r="D86" s="22"/>
      <c r="AF86" s="22"/>
    </row>
    <row r="88" spans="3:42" x14ac:dyDescent="0.25">
      <c r="H88" s="22"/>
    </row>
    <row r="92" spans="3:42" x14ac:dyDescent="0.25">
      <c r="C92" s="22"/>
      <c r="D92" s="22"/>
      <c r="AD92" s="22"/>
      <c r="AH92" s="22"/>
      <c r="AL92" s="22"/>
      <c r="AP92" s="22"/>
    </row>
    <row r="94" spans="3:42" x14ac:dyDescent="0.25">
      <c r="C94" s="22"/>
      <c r="D94" s="22"/>
      <c r="H94" s="22"/>
      <c r="AE94" s="22"/>
      <c r="AH94" s="22"/>
    </row>
    <row r="95" spans="3:42" x14ac:dyDescent="0.25">
      <c r="C95" s="22"/>
      <c r="D95" s="22"/>
    </row>
    <row r="96" spans="3:42" x14ac:dyDescent="0.25">
      <c r="C96" s="22"/>
      <c r="D96" s="22"/>
      <c r="AE96" s="22"/>
      <c r="AH96" s="22"/>
      <c r="AM96" s="22"/>
    </row>
    <row r="97" spans="3:44" x14ac:dyDescent="0.25">
      <c r="C97" s="22"/>
      <c r="D97" s="22"/>
      <c r="AH97" s="22"/>
      <c r="AJ97" s="22"/>
      <c r="AP97" s="22"/>
      <c r="AR97" s="22"/>
    </row>
    <row r="100" spans="3:44" x14ac:dyDescent="0.25">
      <c r="C100" s="22"/>
      <c r="D100" s="22"/>
      <c r="AG100" s="22"/>
    </row>
    <row r="106" spans="3:44" x14ac:dyDescent="0.25">
      <c r="C106" s="22"/>
      <c r="D106" s="22"/>
      <c r="AD106" s="22"/>
      <c r="AL106" s="22"/>
    </row>
    <row r="107" spans="3:44" x14ac:dyDescent="0.25">
      <c r="C107" s="22"/>
      <c r="D107" s="22"/>
      <c r="AD107" s="22"/>
      <c r="AH107" s="22"/>
      <c r="AL107" s="22"/>
      <c r="AP107" s="22"/>
    </row>
    <row r="108" spans="3:44" x14ac:dyDescent="0.25">
      <c r="C108" s="22"/>
      <c r="D108" s="22"/>
      <c r="AH108" s="22"/>
      <c r="AJ108" s="22"/>
      <c r="AP108" s="22"/>
      <c r="AR108" s="22"/>
    </row>
    <row r="110" spans="3:44" x14ac:dyDescent="0.25">
      <c r="C110" s="22"/>
      <c r="D110" s="22"/>
      <c r="AD110" s="22"/>
      <c r="AL110" s="22"/>
    </row>
    <row r="111" spans="3:44" x14ac:dyDescent="0.25">
      <c r="C111" s="22"/>
      <c r="D111" s="22"/>
      <c r="AH111" s="22"/>
      <c r="AP111" s="22"/>
    </row>
    <row r="112" spans="3:44" x14ac:dyDescent="0.25">
      <c r="C112" s="22"/>
      <c r="AD112" s="22"/>
    </row>
    <row r="113" spans="3:42" x14ac:dyDescent="0.25">
      <c r="C113" s="22"/>
      <c r="D113" s="22"/>
      <c r="AC113" s="22"/>
      <c r="AK113" s="22"/>
    </row>
    <row r="114" spans="3:42" x14ac:dyDescent="0.25">
      <c r="C114" s="22"/>
      <c r="D114" s="22"/>
      <c r="AH114" s="22"/>
      <c r="AP114" s="22"/>
    </row>
    <row r="115" spans="3:42" x14ac:dyDescent="0.25">
      <c r="C115" s="22"/>
      <c r="D115" s="22"/>
      <c r="AD115" s="22"/>
      <c r="AH115" s="22"/>
      <c r="AP115" s="22"/>
    </row>
    <row r="116" spans="3:42" x14ac:dyDescent="0.25">
      <c r="C116" s="22"/>
      <c r="D116" s="22"/>
      <c r="AD116" s="22"/>
      <c r="AH116" s="22"/>
      <c r="AL116" s="22"/>
      <c r="AP116" s="22"/>
    </row>
    <row r="118" spans="3:42" x14ac:dyDescent="0.25">
      <c r="C118" s="22"/>
      <c r="D118" s="22"/>
      <c r="AG118" s="22"/>
    </row>
    <row r="119" spans="3:42" x14ac:dyDescent="0.25">
      <c r="C119" s="22"/>
      <c r="D119" s="22"/>
      <c r="AD119" s="22"/>
      <c r="AH119" s="22"/>
      <c r="AL119" s="22"/>
      <c r="AP119" s="22"/>
    </row>
    <row r="120" spans="3:42" x14ac:dyDescent="0.25">
      <c r="C120" s="22"/>
      <c r="D120" s="22"/>
      <c r="AH120" s="22"/>
      <c r="AP120" s="22"/>
    </row>
    <row r="122" spans="3:42" x14ac:dyDescent="0.25">
      <c r="C122" s="22"/>
      <c r="D122" s="22"/>
      <c r="AD122" s="22"/>
      <c r="AL122" s="22"/>
    </row>
    <row r="123" spans="3:42" x14ac:dyDescent="0.25">
      <c r="C123" s="22"/>
      <c r="D123" s="22"/>
    </row>
    <row r="126" spans="3:42" x14ac:dyDescent="0.25">
      <c r="AH126" s="2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zoomScaleNormal="100" workbookViewId="0"/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D4" s="5" t="s">
        <v>7</v>
      </c>
      <c r="H4" s="12" t="s">
        <v>23</v>
      </c>
      <c r="V4" s="12" t="s">
        <v>33</v>
      </c>
      <c r="W4" s="14"/>
    </row>
    <row r="5" spans="1:23" x14ac:dyDescent="0.25">
      <c r="D5" s="5" t="s">
        <v>8</v>
      </c>
      <c r="H5" s="12" t="s">
        <v>24</v>
      </c>
      <c r="O5" s="12" t="s">
        <v>293</v>
      </c>
      <c r="P5" s="5">
        <f>settings!D33</f>
        <v>0</v>
      </c>
      <c r="V5" s="12" t="s">
        <v>296</v>
      </c>
      <c r="W5" s="5" t="b">
        <v>0</v>
      </c>
    </row>
    <row r="6" spans="1:23" x14ac:dyDescent="0.25">
      <c r="D6" s="5" t="s">
        <v>9</v>
      </c>
      <c r="H6" s="12" t="s">
        <v>25</v>
      </c>
    </row>
    <row r="7" spans="1:23" x14ac:dyDescent="0.2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2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25">
      <c r="D10" s="8" t="s">
        <v>11</v>
      </c>
      <c r="H10" s="5">
        <v>10</v>
      </c>
      <c r="J10" s="5" t="s">
        <v>21</v>
      </c>
    </row>
    <row r="11" spans="1:23" x14ac:dyDescent="0.2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D13" s="8" t="s">
        <v>14</v>
      </c>
      <c r="H13" s="5">
        <v>100</v>
      </c>
      <c r="J13" s="5" t="s">
        <v>21</v>
      </c>
    </row>
    <row r="14" spans="1:23" x14ac:dyDescent="0.25">
      <c r="D14" s="5" t="s">
        <v>15</v>
      </c>
      <c r="H14" s="5" t="s">
        <v>36</v>
      </c>
    </row>
    <row r="15" spans="1:23" x14ac:dyDescent="0.25">
      <c r="D15" s="5" t="s">
        <v>16</v>
      </c>
      <c r="H15" s="5" t="s">
        <v>35</v>
      </c>
    </row>
    <row r="16" spans="1:23" x14ac:dyDescent="0.25">
      <c r="A16" s="5" t="s">
        <v>28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</row>
    <row r="21" spans="1:25" x14ac:dyDescent="0.25">
      <c r="A21" s="5" t="s">
        <v>47</v>
      </c>
      <c r="B21" s="5" t="s">
        <v>43</v>
      </c>
    </row>
    <row r="22" spans="1:25" x14ac:dyDescent="0.2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D23" s="5" t="s">
        <v>45</v>
      </c>
      <c r="H23" s="5" t="s">
        <v>44</v>
      </c>
      <c r="O23" s="5" t="s">
        <v>167</v>
      </c>
      <c r="U23" s="12" t="s">
        <v>216</v>
      </c>
    </row>
    <row r="24" spans="1:25" x14ac:dyDescent="0.2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217</v>
      </c>
    </row>
    <row r="25" spans="1:25" x14ac:dyDescent="0.25">
      <c r="D25" s="12" t="s">
        <v>295</v>
      </c>
      <c r="H25" s="12" t="s">
        <v>36</v>
      </c>
      <c r="P25" s="12"/>
      <c r="U25" s="12"/>
    </row>
    <row r="26" spans="1:25" x14ac:dyDescent="0.2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25">
      <c r="A27" s="5" t="s">
        <v>28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12" t="s">
        <v>163</v>
      </c>
    </row>
    <row r="32" spans="1:25" x14ac:dyDescent="0.25">
      <c r="A32" s="5" t="s">
        <v>27</v>
      </c>
      <c r="B32" s="12" t="s">
        <v>49</v>
      </c>
      <c r="V32" s="12"/>
    </row>
    <row r="33" spans="4:22" x14ac:dyDescent="0.25">
      <c r="D33" s="5" t="s">
        <v>7</v>
      </c>
      <c r="H33" s="12" t="s">
        <v>23</v>
      </c>
      <c r="P33" s="3" t="s">
        <v>220</v>
      </c>
      <c r="V33" s="12"/>
    </row>
    <row r="34" spans="4:22" x14ac:dyDescent="0.25">
      <c r="D34" s="8" t="s">
        <v>50</v>
      </c>
      <c r="H34" s="5" t="s">
        <v>84</v>
      </c>
    </row>
    <row r="35" spans="4:22" x14ac:dyDescent="0.25">
      <c r="D35" s="8" t="s">
        <v>51</v>
      </c>
      <c r="H35" s="5">
        <v>0.5</v>
      </c>
      <c r="V35" s="12"/>
    </row>
    <row r="36" spans="4:22" x14ac:dyDescent="0.2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25">
      <c r="D37" s="8" t="s">
        <v>66</v>
      </c>
      <c r="H37" s="5" t="s">
        <v>67</v>
      </c>
    </row>
    <row r="38" spans="4:22" x14ac:dyDescent="0.25">
      <c r="D38" s="5" t="s">
        <v>55</v>
      </c>
      <c r="H38" s="5" t="s">
        <v>36</v>
      </c>
    </row>
    <row r="39" spans="4:22" x14ac:dyDescent="0.25">
      <c r="D39" s="5" t="s">
        <v>56</v>
      </c>
      <c r="H39" s="5" t="s">
        <v>72</v>
      </c>
    </row>
    <row r="40" spans="4:22" x14ac:dyDescent="0.25">
      <c r="D40" s="5" t="s">
        <v>57</v>
      </c>
      <c r="H40" s="5" t="s">
        <v>36</v>
      </c>
    </row>
    <row r="41" spans="4:22" x14ac:dyDescent="0.25">
      <c r="D41" s="5" t="s">
        <v>58</v>
      </c>
      <c r="H41" s="5" t="s">
        <v>36</v>
      </c>
    </row>
    <row r="42" spans="4:22" x14ac:dyDescent="0.25">
      <c r="D42" s="5" t="s">
        <v>59</v>
      </c>
      <c r="H42" s="5" t="s">
        <v>36</v>
      </c>
    </row>
    <row r="43" spans="4:22" x14ac:dyDescent="0.25">
      <c r="D43" s="5" t="s">
        <v>60</v>
      </c>
      <c r="H43" s="5" t="s">
        <v>71</v>
      </c>
    </row>
    <row r="44" spans="4:22" x14ac:dyDescent="0.25">
      <c r="D44" s="5" t="s">
        <v>61</v>
      </c>
      <c r="H44" s="5" t="s">
        <v>68</v>
      </c>
    </row>
    <row r="45" spans="4:22" x14ac:dyDescent="0.25">
      <c r="D45" s="5" t="s">
        <v>62</v>
      </c>
      <c r="H45" s="5">
        <v>0.8</v>
      </c>
    </row>
    <row r="46" spans="4:22" x14ac:dyDescent="0.25">
      <c r="D46" s="5" t="s">
        <v>63</v>
      </c>
      <c r="H46" s="5">
        <v>2</v>
      </c>
    </row>
    <row r="47" spans="4:22" x14ac:dyDescent="0.25">
      <c r="D47" s="5" t="s">
        <v>64</v>
      </c>
      <c r="F47" s="12"/>
      <c r="H47" s="12" t="s">
        <v>69</v>
      </c>
      <c r="J47" s="5" t="s">
        <v>69</v>
      </c>
    </row>
    <row r="48" spans="4:22" x14ac:dyDescent="0.25">
      <c r="D48" s="5" t="s">
        <v>65</v>
      </c>
      <c r="H48" s="5" t="s">
        <v>70</v>
      </c>
    </row>
    <row r="49" spans="1:10" x14ac:dyDescent="0.25">
      <c r="A49" s="5" t="s">
        <v>28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D55" s="5" t="s">
        <v>7</v>
      </c>
      <c r="H55" s="5" t="s">
        <v>23</v>
      </c>
    </row>
    <row r="56" spans="1:10" x14ac:dyDescent="0.25">
      <c r="D56" s="8" t="s">
        <v>50</v>
      </c>
      <c r="H56" s="5" t="s">
        <v>87</v>
      </c>
    </row>
    <row r="57" spans="1:10" x14ac:dyDescent="0.25">
      <c r="D57" s="5" t="s">
        <v>55</v>
      </c>
      <c r="H57" s="5" t="s">
        <v>36</v>
      </c>
    </row>
    <row r="58" spans="1:10" x14ac:dyDescent="0.25">
      <c r="D58" s="5" t="s">
        <v>59</v>
      </c>
      <c r="H58" s="5" t="s">
        <v>36</v>
      </c>
    </row>
    <row r="59" spans="1:10" x14ac:dyDescent="0.25">
      <c r="D59" s="8" t="s">
        <v>66</v>
      </c>
      <c r="H59" s="5" t="s">
        <v>85</v>
      </c>
    </row>
    <row r="60" spans="1:10" x14ac:dyDescent="0.25">
      <c r="D60" s="5" t="s">
        <v>56</v>
      </c>
      <c r="H60" s="5" t="s">
        <v>82</v>
      </c>
    </row>
    <row r="61" spans="1:10" x14ac:dyDescent="0.25">
      <c r="D61" s="5" t="s">
        <v>75</v>
      </c>
      <c r="H61" s="5" t="s">
        <v>36</v>
      </c>
    </row>
    <row r="62" spans="1:10" x14ac:dyDescent="0.25">
      <c r="D62" s="8" t="s">
        <v>76</v>
      </c>
      <c r="H62" s="5">
        <v>1</v>
      </c>
    </row>
    <row r="63" spans="1:10" x14ac:dyDescent="0.25">
      <c r="D63" s="8" t="s">
        <v>77</v>
      </c>
      <c r="H63" s="5">
        <v>2</v>
      </c>
    </row>
    <row r="64" spans="1:10" x14ac:dyDescent="0.25">
      <c r="D64" s="5" t="s">
        <v>78</v>
      </c>
      <c r="H64" s="5" t="s">
        <v>36</v>
      </c>
    </row>
    <row r="65" spans="1:10" x14ac:dyDescent="0.25">
      <c r="D65" s="5" t="s">
        <v>79</v>
      </c>
      <c r="H65" s="5" t="s">
        <v>36</v>
      </c>
    </row>
    <row r="66" spans="1:10" x14ac:dyDescent="0.25">
      <c r="D66" s="5" t="s">
        <v>80</v>
      </c>
      <c r="H66" s="5" t="s">
        <v>68</v>
      </c>
    </row>
    <row r="67" spans="1:10" x14ac:dyDescent="0.25">
      <c r="D67" s="5" t="s">
        <v>81</v>
      </c>
      <c r="H67" s="5" t="s">
        <v>36</v>
      </c>
    </row>
    <row r="68" spans="1:10" x14ac:dyDescent="0.25">
      <c r="D68" s="5" t="s">
        <v>86</v>
      </c>
      <c r="H68" s="5" t="s">
        <v>36</v>
      </c>
    </row>
    <row r="69" spans="1:10" x14ac:dyDescent="0.25">
      <c r="D69" s="8" t="s">
        <v>83</v>
      </c>
      <c r="H69" s="5">
        <v>3</v>
      </c>
    </row>
    <row r="70" spans="1:10" x14ac:dyDescent="0.25">
      <c r="A70" s="5" t="s">
        <v>28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D76" s="5" t="s">
        <v>7</v>
      </c>
      <c r="H76" s="5" t="s">
        <v>23</v>
      </c>
    </row>
    <row r="77" spans="1:10" x14ac:dyDescent="0.25">
      <c r="D77" s="8" t="s">
        <v>50</v>
      </c>
      <c r="H77" s="5" t="s">
        <v>93</v>
      </c>
    </row>
    <row r="78" spans="1:10" x14ac:dyDescent="0.25">
      <c r="D78" s="5" t="s">
        <v>55</v>
      </c>
      <c r="H78" s="5" t="s">
        <v>36</v>
      </c>
    </row>
    <row r="79" spans="1:10" x14ac:dyDescent="0.25">
      <c r="D79" s="8" t="s">
        <v>66</v>
      </c>
      <c r="H79" s="5" t="s">
        <v>110</v>
      </c>
    </row>
    <row r="80" spans="1:10" x14ac:dyDescent="0.25">
      <c r="D80" s="5" t="s">
        <v>56</v>
      </c>
      <c r="H80" s="5" t="s">
        <v>82</v>
      </c>
    </row>
    <row r="81" spans="1:16" x14ac:dyDescent="0.2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D83" s="9" t="s">
        <v>80</v>
      </c>
      <c r="H83" s="5" t="s">
        <v>94</v>
      </c>
      <c r="J83" s="5" t="s">
        <v>111</v>
      </c>
    </row>
    <row r="84" spans="1:16" x14ac:dyDescent="0.25">
      <c r="D84" s="8" t="s">
        <v>92</v>
      </c>
      <c r="H84" s="5">
        <v>0.8</v>
      </c>
      <c r="J84" s="5" t="s">
        <v>112</v>
      </c>
    </row>
    <row r="85" spans="1:16" x14ac:dyDescent="0.25">
      <c r="A85" s="5" t="s">
        <v>28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D91" s="5" t="s">
        <v>7</v>
      </c>
      <c r="H91" s="5" t="s">
        <v>23</v>
      </c>
    </row>
    <row r="92" spans="1:16" x14ac:dyDescent="0.25">
      <c r="D92" s="8" t="s">
        <v>50</v>
      </c>
      <c r="H92" s="5" t="s">
        <v>93</v>
      </c>
    </row>
    <row r="93" spans="1:16" x14ac:dyDescent="0.25">
      <c r="D93" s="5" t="s">
        <v>55</v>
      </c>
      <c r="H93" s="5" t="s">
        <v>36</v>
      </c>
    </row>
    <row r="94" spans="1:16" x14ac:dyDescent="0.25">
      <c r="D94" s="8" t="s">
        <v>66</v>
      </c>
      <c r="H94" s="5" t="s">
        <v>128</v>
      </c>
    </row>
    <row r="95" spans="1:16" x14ac:dyDescent="0.25">
      <c r="D95" s="5" t="s">
        <v>56</v>
      </c>
      <c r="H95" s="5" t="s">
        <v>82</v>
      </c>
    </row>
    <row r="96" spans="1:16" x14ac:dyDescent="0.25">
      <c r="D96" s="5" t="s">
        <v>57</v>
      </c>
      <c r="H96" s="5" t="s">
        <v>36</v>
      </c>
    </row>
    <row r="97" spans="1:16" x14ac:dyDescent="0.25">
      <c r="D97" s="5" t="s">
        <v>59</v>
      </c>
      <c r="H97" s="5" t="s">
        <v>36</v>
      </c>
    </row>
    <row r="98" spans="1:16" x14ac:dyDescent="0.25">
      <c r="D98" s="8" t="s">
        <v>115</v>
      </c>
      <c r="H98" s="5" t="s">
        <v>160</v>
      </c>
    </row>
    <row r="99" spans="1:16" x14ac:dyDescent="0.2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D103" s="5" t="s">
        <v>117</v>
      </c>
      <c r="H103" s="5" t="s">
        <v>126</v>
      </c>
    </row>
    <row r="104" spans="1:16" x14ac:dyDescent="0.25">
      <c r="D104" s="5" t="s">
        <v>118</v>
      </c>
      <c r="H104" s="5" t="s">
        <v>36</v>
      </c>
    </row>
    <row r="105" spans="1:16" x14ac:dyDescent="0.25">
      <c r="D105" s="5" t="s">
        <v>119</v>
      </c>
      <c r="H105" s="5">
        <v>1.5</v>
      </c>
    </row>
    <row r="106" spans="1:16" x14ac:dyDescent="0.25">
      <c r="D106" s="5" t="s">
        <v>120</v>
      </c>
      <c r="H106" s="5">
        <v>0.5</v>
      </c>
    </row>
    <row r="107" spans="1:16" x14ac:dyDescent="0.25">
      <c r="D107" s="5" t="s">
        <v>121</v>
      </c>
      <c r="H107" s="5" t="s">
        <v>68</v>
      </c>
    </row>
    <row r="108" spans="1:16" x14ac:dyDescent="0.25">
      <c r="A108" s="5" t="s">
        <v>127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D115" s="5" t="s">
        <v>7</v>
      </c>
      <c r="H115" s="5" t="s">
        <v>23</v>
      </c>
    </row>
    <row r="116" spans="1:15" x14ac:dyDescent="0.25">
      <c r="D116" s="8" t="s">
        <v>130</v>
      </c>
      <c r="H116" s="12" t="s">
        <v>528</v>
      </c>
    </row>
    <row r="117" spans="1:15" x14ac:dyDescent="0.2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D118" s="8" t="s">
        <v>131</v>
      </c>
      <c r="F118" s="12"/>
      <c r="H118" s="5" t="s">
        <v>158</v>
      </c>
      <c r="J118" s="12" t="s">
        <v>162</v>
      </c>
    </row>
    <row r="119" spans="1:15" x14ac:dyDescent="0.25">
      <c r="D119" s="8" t="s">
        <v>132</v>
      </c>
      <c r="H119" s="5" t="s">
        <v>68</v>
      </c>
    </row>
    <row r="120" spans="1:15" x14ac:dyDescent="0.25">
      <c r="D120" s="8" t="s">
        <v>11</v>
      </c>
      <c r="H120" s="5" t="s">
        <v>68</v>
      </c>
    </row>
    <row r="121" spans="1:15" x14ac:dyDescent="0.25">
      <c r="D121" s="10" t="s">
        <v>133</v>
      </c>
      <c r="H121" s="5" t="s">
        <v>145</v>
      </c>
      <c r="I121" s="5" t="s">
        <v>161</v>
      </c>
    </row>
    <row r="122" spans="1:15" x14ac:dyDescent="0.25">
      <c r="D122" s="8" t="s">
        <v>134</v>
      </c>
      <c r="H122" s="5">
        <v>0.01</v>
      </c>
    </row>
    <row r="123" spans="1:15" x14ac:dyDescent="0.25">
      <c r="D123" s="8" t="s">
        <v>135</v>
      </c>
      <c r="E123" s="11"/>
      <c r="F123" s="12"/>
      <c r="H123" s="5" t="s">
        <v>146</v>
      </c>
    </row>
    <row r="124" spans="1:15" x14ac:dyDescent="0.25">
      <c r="D124" s="8" t="s">
        <v>147</v>
      </c>
      <c r="H124" s="5">
        <v>200</v>
      </c>
    </row>
    <row r="125" spans="1:15" x14ac:dyDescent="0.25">
      <c r="D125" s="8" t="s">
        <v>136</v>
      </c>
      <c r="H125" s="5">
        <v>100</v>
      </c>
    </row>
    <row r="126" spans="1:15" x14ac:dyDescent="0.25">
      <c r="D126" s="8" t="s">
        <v>137</v>
      </c>
      <c r="H126" s="5" t="s">
        <v>36</v>
      </c>
    </row>
    <row r="127" spans="1:15" x14ac:dyDescent="0.25">
      <c r="D127" s="8" t="s">
        <v>138</v>
      </c>
      <c r="H127" s="5">
        <v>2</v>
      </c>
    </row>
    <row r="128" spans="1:15" x14ac:dyDescent="0.25">
      <c r="D128" s="5" t="s">
        <v>15</v>
      </c>
      <c r="H128" s="5" t="s">
        <v>36</v>
      </c>
    </row>
    <row r="129" spans="1:10" x14ac:dyDescent="0.25">
      <c r="D129" s="10" t="s">
        <v>16</v>
      </c>
      <c r="F129" s="12"/>
      <c r="H129" s="12" t="s">
        <v>68</v>
      </c>
    </row>
    <row r="130" spans="1:10" x14ac:dyDescent="0.25">
      <c r="A130" s="5" t="s">
        <v>127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D136" s="5" t="s">
        <v>7</v>
      </c>
      <c r="H136" s="5" t="s">
        <v>23</v>
      </c>
    </row>
    <row r="137" spans="1:10" x14ac:dyDescent="0.25">
      <c r="D137" s="8" t="s">
        <v>8</v>
      </c>
      <c r="F137" s="12"/>
      <c r="H137" s="5" t="s">
        <v>152</v>
      </c>
      <c r="I137" s="5" t="s">
        <v>320</v>
      </c>
    </row>
    <row r="138" spans="1:10" x14ac:dyDescent="0.25">
      <c r="D138" s="10" t="s">
        <v>10</v>
      </c>
      <c r="H138" s="5" t="s">
        <v>151</v>
      </c>
    </row>
    <row r="139" spans="1:10" x14ac:dyDescent="0.25">
      <c r="D139" s="8" t="s">
        <v>149</v>
      </c>
      <c r="H139" s="5">
        <v>0</v>
      </c>
    </row>
    <row r="140" spans="1:10" x14ac:dyDescent="0.25">
      <c r="D140" s="8" t="s">
        <v>150</v>
      </c>
      <c r="H140" s="5">
        <v>2</v>
      </c>
    </row>
    <row r="141" spans="1:10" x14ac:dyDescent="0.25">
      <c r="D141" s="5" t="s">
        <v>15</v>
      </c>
      <c r="H141" s="5" t="s">
        <v>36</v>
      </c>
    </row>
    <row r="142" spans="1:10" x14ac:dyDescent="0.25">
      <c r="D142" s="10" t="s">
        <v>16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D149" s="5" t="s">
        <v>7</v>
      </c>
      <c r="H149" s="5" t="s">
        <v>23</v>
      </c>
    </row>
    <row r="150" spans="1:19" x14ac:dyDescent="0.2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D151" s="8" t="s">
        <v>154</v>
      </c>
      <c r="H151" s="5" t="s">
        <v>158</v>
      </c>
      <c r="J151" s="5" t="s">
        <v>162</v>
      </c>
    </row>
    <row r="152" spans="1:19" x14ac:dyDescent="0.25">
      <c r="D152" s="5" t="s">
        <v>15</v>
      </c>
      <c r="H152" s="5" t="s">
        <v>36</v>
      </c>
    </row>
    <row r="153" spans="1:19" x14ac:dyDescent="0.25">
      <c r="D153" s="10" t="s">
        <v>16</v>
      </c>
      <c r="H153" s="5" t="s">
        <v>68</v>
      </c>
    </row>
    <row r="154" spans="1:19" x14ac:dyDescent="0.25">
      <c r="A154" s="5" t="s">
        <v>127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D160" s="12" t="s">
        <v>283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D161" s="12" t="s">
        <v>284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319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D171" s="12" t="s">
        <v>7</v>
      </c>
      <c r="H171" s="12" t="s">
        <v>23</v>
      </c>
    </row>
    <row r="172" spans="1:18" x14ac:dyDescent="0.2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515</v>
      </c>
      <c r="N172" s="12" t="s">
        <v>219</v>
      </c>
      <c r="O172" s="5" t="b">
        <v>1</v>
      </c>
    </row>
    <row r="173" spans="1:18" x14ac:dyDescent="0.25">
      <c r="D173" s="12" t="s">
        <v>175</v>
      </c>
      <c r="H173" s="12" t="s">
        <v>68</v>
      </c>
    </row>
    <row r="174" spans="1:18" x14ac:dyDescent="0.25">
      <c r="D174" s="13" t="s">
        <v>176</v>
      </c>
      <c r="H174" s="12" t="s">
        <v>36</v>
      </c>
    </row>
    <row r="175" spans="1:18" x14ac:dyDescent="0.25">
      <c r="D175" s="13" t="s">
        <v>11</v>
      </c>
      <c r="H175" s="12" t="s">
        <v>68</v>
      </c>
    </row>
    <row r="176" spans="1:18" x14ac:dyDescent="0.25">
      <c r="D176" s="13" t="s">
        <v>135</v>
      </c>
      <c r="H176" s="5" t="s">
        <v>146</v>
      </c>
    </row>
    <row r="177" spans="1:15" x14ac:dyDescent="0.25">
      <c r="D177" s="13" t="s">
        <v>177</v>
      </c>
      <c r="H177" s="12" t="s">
        <v>145</v>
      </c>
    </row>
    <row r="178" spans="1:15" x14ac:dyDescent="0.2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D179" s="13" t="s">
        <v>179</v>
      </c>
      <c r="H179" s="5">
        <v>0.05</v>
      </c>
    </row>
    <row r="180" spans="1:15" x14ac:dyDescent="0.25">
      <c r="D180" s="12" t="s">
        <v>15</v>
      </c>
      <c r="H180" s="12" t="s">
        <v>36</v>
      </c>
    </row>
    <row r="181" spans="1:15" x14ac:dyDescent="0.25">
      <c r="D181" s="12" t="s">
        <v>16</v>
      </c>
      <c r="H181" s="12" t="s">
        <v>188</v>
      </c>
    </row>
    <row r="182" spans="1:15" x14ac:dyDescent="0.25">
      <c r="A182" s="12" t="s">
        <v>205</v>
      </c>
      <c r="B182" s="12"/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D189" s="12" t="s">
        <v>192</v>
      </c>
      <c r="H189" s="12" t="s">
        <v>192</v>
      </c>
      <c r="I189" s="12" t="s">
        <v>221</v>
      </c>
      <c r="J189" s="12"/>
      <c r="K189" s="12" t="s">
        <v>516</v>
      </c>
      <c r="L189" s="5" t="s">
        <v>517</v>
      </c>
      <c r="M189" s="5" t="s">
        <v>518</v>
      </c>
      <c r="N189" s="5" t="s">
        <v>519</v>
      </c>
    </row>
    <row r="190" spans="1:15" x14ac:dyDescent="0.25">
      <c r="D190" s="12" t="s">
        <v>193</v>
      </c>
      <c r="H190" s="12" t="s">
        <v>193</v>
      </c>
    </row>
    <row r="191" spans="1:15" x14ac:dyDescent="0.25">
      <c r="D191" s="12" t="s">
        <v>194</v>
      </c>
      <c r="F191" s="12"/>
      <c r="H191" s="12" t="s">
        <v>194</v>
      </c>
    </row>
    <row r="192" spans="1:15" x14ac:dyDescent="0.25">
      <c r="D192" s="13" t="s">
        <v>195</v>
      </c>
      <c r="H192" s="5">
        <v>0.05</v>
      </c>
    </row>
    <row r="193" spans="1:10" x14ac:dyDescent="0.25">
      <c r="D193" s="13" t="s">
        <v>196</v>
      </c>
      <c r="H193" s="5">
        <v>1</v>
      </c>
    </row>
    <row r="194" spans="1:10" x14ac:dyDescent="0.25">
      <c r="D194" s="13" t="s">
        <v>197</v>
      </c>
      <c r="H194" s="12" t="s">
        <v>68</v>
      </c>
      <c r="J194" s="12" t="s">
        <v>211</v>
      </c>
    </row>
    <row r="195" spans="1:10" x14ac:dyDescent="0.25">
      <c r="D195" s="13" t="s">
        <v>198</v>
      </c>
      <c r="H195" s="12" t="s">
        <v>68</v>
      </c>
    </row>
    <row r="196" spans="1:10" x14ac:dyDescent="0.25">
      <c r="D196" s="13" t="s">
        <v>199</v>
      </c>
      <c r="H196" s="12" t="s">
        <v>68</v>
      </c>
    </row>
    <row r="197" spans="1:10" x14ac:dyDescent="0.25">
      <c r="D197" s="13" t="s">
        <v>200</v>
      </c>
      <c r="H197" s="12" t="s">
        <v>206</v>
      </c>
    </row>
    <row r="198" spans="1:10" x14ac:dyDescent="0.25">
      <c r="D198" s="13" t="s">
        <v>201</v>
      </c>
      <c r="H198" s="12" t="s">
        <v>207</v>
      </c>
    </row>
    <row r="199" spans="1:10" x14ac:dyDescent="0.25">
      <c r="D199" s="12" t="s">
        <v>202</v>
      </c>
      <c r="H199" s="12" t="s">
        <v>145</v>
      </c>
    </row>
    <row r="200" spans="1:10" x14ac:dyDescent="0.25">
      <c r="D200" s="12" t="s">
        <v>203</v>
      </c>
      <c r="H200" s="12" t="s">
        <v>145</v>
      </c>
    </row>
    <row r="201" spans="1:10" x14ac:dyDescent="0.25">
      <c r="D201" s="12" t="s">
        <v>59</v>
      </c>
      <c r="H201" s="12" t="s">
        <v>36</v>
      </c>
    </row>
    <row r="202" spans="1:10" x14ac:dyDescent="0.25">
      <c r="D202" s="13" t="s">
        <v>204</v>
      </c>
      <c r="H202" s="12" t="s">
        <v>208</v>
      </c>
    </row>
    <row r="203" spans="1:10" x14ac:dyDescent="0.25">
      <c r="A203" s="12" t="s">
        <v>205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D210" s="12" t="s">
        <v>223</v>
      </c>
      <c r="H210" s="12" t="s">
        <v>223</v>
      </c>
      <c r="K210" s="12" t="s">
        <v>516</v>
      </c>
      <c r="L210" s="5" t="s">
        <v>517</v>
      </c>
      <c r="M210" s="5" t="s">
        <v>518</v>
      </c>
      <c r="N210" s="5" t="s">
        <v>523</v>
      </c>
    </row>
    <row r="211" spans="1:14" x14ac:dyDescent="0.25">
      <c r="D211" s="13" t="s">
        <v>50</v>
      </c>
      <c r="H211" s="12" t="s">
        <v>50</v>
      </c>
    </row>
    <row r="212" spans="1:14" x14ac:dyDescent="0.25">
      <c r="D212" s="12" t="s">
        <v>194</v>
      </c>
      <c r="H212" s="12" t="s">
        <v>194</v>
      </c>
    </row>
    <row r="213" spans="1:14" x14ac:dyDescent="0.25">
      <c r="D213" s="13" t="s">
        <v>52</v>
      </c>
      <c r="H213" s="12" t="s">
        <v>54</v>
      </c>
    </row>
    <row r="214" spans="1:14" x14ac:dyDescent="0.25">
      <c r="D214" s="13" t="s">
        <v>197</v>
      </c>
      <c r="H214" s="12" t="s">
        <v>68</v>
      </c>
    </row>
    <row r="215" spans="1:14" x14ac:dyDescent="0.25">
      <c r="D215" s="13" t="s">
        <v>224</v>
      </c>
      <c r="H215" s="12" t="s">
        <v>225</v>
      </c>
    </row>
    <row r="216" spans="1:14" x14ac:dyDescent="0.25">
      <c r="D216" s="12" t="s">
        <v>59</v>
      </c>
      <c r="H216" s="12" t="s">
        <v>36</v>
      </c>
    </row>
    <row r="217" spans="1:14" x14ac:dyDescent="0.25">
      <c r="D217" s="12" t="s">
        <v>60</v>
      </c>
      <c r="H217" s="12" t="s">
        <v>226</v>
      </c>
    </row>
    <row r="218" spans="1:14" x14ac:dyDescent="0.25">
      <c r="A218" s="12" t="s">
        <v>205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D225" s="12" t="s">
        <v>193</v>
      </c>
      <c r="H225" s="12" t="s">
        <v>193</v>
      </c>
      <c r="I225" s="12" t="s">
        <v>221</v>
      </c>
      <c r="J225" s="12"/>
      <c r="K225" s="5" t="s">
        <v>516</v>
      </c>
      <c r="L225" s="5" t="s">
        <v>517</v>
      </c>
      <c r="M225" s="5" t="s">
        <v>518</v>
      </c>
      <c r="N225" s="5" t="s">
        <v>519</v>
      </c>
    </row>
    <row r="226" spans="1:14" x14ac:dyDescent="0.25">
      <c r="D226" s="12" t="s">
        <v>194</v>
      </c>
      <c r="H226" s="12" t="s">
        <v>194</v>
      </c>
    </row>
    <row r="227" spans="1:14" x14ac:dyDescent="0.25">
      <c r="D227" s="12" t="s">
        <v>55</v>
      </c>
      <c r="H227" s="12" t="s">
        <v>36</v>
      </c>
    </row>
    <row r="228" spans="1:14" x14ac:dyDescent="0.25">
      <c r="D228" s="13" t="s">
        <v>66</v>
      </c>
      <c r="H228" s="12" t="s">
        <v>234</v>
      </c>
    </row>
    <row r="229" spans="1:14" x14ac:dyDescent="0.25">
      <c r="D229" s="12" t="s">
        <v>56</v>
      </c>
      <c r="H229" s="12" t="s">
        <v>82</v>
      </c>
    </row>
    <row r="230" spans="1:14" x14ac:dyDescent="0.25">
      <c r="D230" s="13" t="s">
        <v>200</v>
      </c>
      <c r="H230" s="12" t="s">
        <v>230</v>
      </c>
    </row>
    <row r="231" spans="1:14" x14ac:dyDescent="0.25">
      <c r="D231" s="13" t="s">
        <v>201</v>
      </c>
      <c r="H231" s="12" t="s">
        <v>231</v>
      </c>
    </row>
    <row r="232" spans="1:14" x14ac:dyDescent="0.25">
      <c r="D232" s="13" t="s">
        <v>64</v>
      </c>
      <c r="H232" s="12" t="s">
        <v>68</v>
      </c>
    </row>
    <row r="233" spans="1:14" x14ac:dyDescent="0.25">
      <c r="D233" s="13" t="s">
        <v>228</v>
      </c>
      <c r="H233" s="12" t="s">
        <v>232</v>
      </c>
    </row>
    <row r="234" spans="1:14" x14ac:dyDescent="0.25">
      <c r="D234" s="13" t="s">
        <v>229</v>
      </c>
      <c r="H234" s="12" t="s">
        <v>233</v>
      </c>
    </row>
    <row r="235" spans="1:14" x14ac:dyDescent="0.25">
      <c r="A235" s="12" t="s">
        <v>205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520</v>
      </c>
      <c r="K241" s="12"/>
      <c r="L241" s="12"/>
      <c r="M241" s="12"/>
    </row>
    <row r="242" spans="1:14" x14ac:dyDescent="0.25">
      <c r="D242" s="12" t="s">
        <v>236</v>
      </c>
      <c r="H242" s="12" t="s">
        <v>236</v>
      </c>
      <c r="I242" s="12" t="s">
        <v>242</v>
      </c>
      <c r="J242" s="5" t="s">
        <v>510</v>
      </c>
      <c r="K242" s="5" t="s">
        <v>516</v>
      </c>
      <c r="L242" s="5" t="s">
        <v>518</v>
      </c>
      <c r="M242" s="5" t="s">
        <v>519</v>
      </c>
    </row>
    <row r="243" spans="1:14" x14ac:dyDescent="0.25">
      <c r="D243" s="12" t="s">
        <v>237</v>
      </c>
      <c r="H243" s="12" t="s">
        <v>194</v>
      </c>
      <c r="I243" s="12" t="s">
        <v>243</v>
      </c>
      <c r="J243" s="5">
        <v>0.05</v>
      </c>
    </row>
    <row r="244" spans="1:14" x14ac:dyDescent="0.25">
      <c r="D244" s="12" t="s">
        <v>55</v>
      </c>
      <c r="H244" s="12" t="s">
        <v>36</v>
      </c>
      <c r="I244" s="12" t="s">
        <v>244</v>
      </c>
    </row>
    <row r="245" spans="1:14" x14ac:dyDescent="0.25">
      <c r="D245" s="12" t="s">
        <v>66</v>
      </c>
      <c r="H245" s="12" t="s">
        <v>240</v>
      </c>
    </row>
    <row r="246" spans="1:14" x14ac:dyDescent="0.25">
      <c r="D246" s="12" t="s">
        <v>56</v>
      </c>
      <c r="H246" s="12" t="s">
        <v>82</v>
      </c>
    </row>
    <row r="247" spans="1:14" x14ac:dyDescent="0.25">
      <c r="D247" s="13" t="s">
        <v>80</v>
      </c>
      <c r="H247" s="12" t="s">
        <v>241</v>
      </c>
    </row>
    <row r="248" spans="1:14" x14ac:dyDescent="0.25">
      <c r="D248" s="13" t="s">
        <v>238</v>
      </c>
      <c r="H248" s="5">
        <v>1</v>
      </c>
    </row>
    <row r="249" spans="1:14" x14ac:dyDescent="0.25">
      <c r="D249" s="13" t="s">
        <v>239</v>
      </c>
      <c r="H249" s="5">
        <v>1</v>
      </c>
    </row>
    <row r="250" spans="1:14" x14ac:dyDescent="0.25">
      <c r="A250" s="12" t="s">
        <v>205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D257" s="12" t="s">
        <v>193</v>
      </c>
      <c r="H257" s="12" t="s">
        <v>246</v>
      </c>
      <c r="I257" s="12" t="s">
        <v>249</v>
      </c>
      <c r="J257" s="5" t="b">
        <v>0</v>
      </c>
      <c r="K257" s="12" t="s">
        <v>523</v>
      </c>
      <c r="L257" s="5" t="s">
        <v>516</v>
      </c>
      <c r="M257" s="5" t="s">
        <v>517</v>
      </c>
      <c r="N257" s="5" t="s">
        <v>518</v>
      </c>
    </row>
    <row r="258" spans="1:14" x14ac:dyDescent="0.25">
      <c r="D258" s="12" t="s">
        <v>194</v>
      </c>
      <c r="H258" s="12" t="s">
        <v>194</v>
      </c>
    </row>
    <row r="259" spans="1:14" x14ac:dyDescent="0.25">
      <c r="D259" s="12" t="s">
        <v>55</v>
      </c>
      <c r="H259" s="12" t="s">
        <v>36</v>
      </c>
    </row>
    <row r="260" spans="1:14" x14ac:dyDescent="0.25">
      <c r="D260" s="17" t="s">
        <v>66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D261" s="12" t="s">
        <v>56</v>
      </c>
      <c r="H261" s="12" t="s">
        <v>82</v>
      </c>
    </row>
    <row r="262" spans="1:14" x14ac:dyDescent="0.25">
      <c r="D262" s="13" t="s">
        <v>200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D263" s="13" t="s">
        <v>201</v>
      </c>
      <c r="H263" s="12" t="s">
        <v>231</v>
      </c>
      <c r="J263" s="5" t="s">
        <v>250</v>
      </c>
    </row>
    <row r="264" spans="1:14" x14ac:dyDescent="0.25">
      <c r="D264" s="13" t="s">
        <v>64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D265" s="13" t="s">
        <v>228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D266" s="13" t="s">
        <v>229</v>
      </c>
      <c r="H266" s="12" t="s">
        <v>233</v>
      </c>
    </row>
    <row r="267" spans="1:14" x14ac:dyDescent="0.25">
      <c r="A267" s="12" t="s">
        <v>205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521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522</v>
      </c>
    </row>
    <row r="274" spans="1:8" x14ac:dyDescent="0.25">
      <c r="D274" s="12" t="s">
        <v>7</v>
      </c>
      <c r="H274" s="12" t="s">
        <v>23</v>
      </c>
    </row>
    <row r="275" spans="1:8" x14ac:dyDescent="0.25">
      <c r="D275" s="12" t="s">
        <v>50</v>
      </c>
      <c r="H275" s="12" t="s">
        <v>93</v>
      </c>
    </row>
    <row r="276" spans="1:8" x14ac:dyDescent="0.25">
      <c r="D276" s="12" t="s">
        <v>267</v>
      </c>
      <c r="H276" s="12" t="s">
        <v>278</v>
      </c>
    </row>
    <row r="277" spans="1:8" x14ac:dyDescent="0.25">
      <c r="D277" s="13" t="s">
        <v>268</v>
      </c>
      <c r="H277" s="5">
        <v>1</v>
      </c>
    </row>
    <row r="278" spans="1:8" x14ac:dyDescent="0.25">
      <c r="D278" s="13" t="s">
        <v>269</v>
      </c>
      <c r="H278" s="12" t="s">
        <v>68</v>
      </c>
    </row>
    <row r="279" spans="1:8" x14ac:dyDescent="0.25">
      <c r="D279" s="13" t="s">
        <v>270</v>
      </c>
      <c r="H279" s="12" t="s">
        <v>36</v>
      </c>
    </row>
    <row r="280" spans="1:8" x14ac:dyDescent="0.25">
      <c r="D280" s="13" t="s">
        <v>11</v>
      </c>
      <c r="H280" s="5">
        <v>5</v>
      </c>
    </row>
    <row r="281" spans="1:8" x14ac:dyDescent="0.25">
      <c r="D281" s="13" t="s">
        <v>271</v>
      </c>
      <c r="H281" s="12" t="s">
        <v>145</v>
      </c>
    </row>
    <row r="282" spans="1:8" x14ac:dyDescent="0.25">
      <c r="D282" s="12" t="s">
        <v>272</v>
      </c>
      <c r="H282" s="12" t="s">
        <v>36</v>
      </c>
    </row>
    <row r="283" spans="1:8" x14ac:dyDescent="0.25">
      <c r="D283" s="12" t="s">
        <v>273</v>
      </c>
      <c r="H283" s="12" t="s">
        <v>23</v>
      </c>
    </row>
    <row r="284" spans="1:8" x14ac:dyDescent="0.25">
      <c r="D284" s="12" t="s">
        <v>274</v>
      </c>
      <c r="H284" s="12" t="s">
        <v>93</v>
      </c>
    </row>
    <row r="285" spans="1:8" x14ac:dyDescent="0.25">
      <c r="D285" s="12" t="s">
        <v>275</v>
      </c>
      <c r="H285" s="12" t="s">
        <v>36</v>
      </c>
    </row>
    <row r="286" spans="1:8" x14ac:dyDescent="0.25">
      <c r="D286" s="12" t="s">
        <v>15</v>
      </c>
      <c r="H286" s="12" t="s">
        <v>36</v>
      </c>
    </row>
    <row r="287" spans="1:8" x14ac:dyDescent="0.25">
      <c r="D287" s="12" t="s">
        <v>276</v>
      </c>
      <c r="H287" s="12" t="s">
        <v>279</v>
      </c>
    </row>
    <row r="288" spans="1:8" x14ac:dyDescent="0.25">
      <c r="A288" s="12" t="s">
        <v>277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D295" s="12" t="s">
        <v>223</v>
      </c>
      <c r="H295" s="12" t="s">
        <v>223</v>
      </c>
      <c r="K295" s="12" t="s">
        <v>523</v>
      </c>
      <c r="L295" s="5" t="s">
        <v>516</v>
      </c>
    </row>
    <row r="296" spans="1:14" x14ac:dyDescent="0.25">
      <c r="D296" s="13" t="s">
        <v>50</v>
      </c>
      <c r="H296" s="12" t="s">
        <v>50</v>
      </c>
    </row>
    <row r="297" spans="1:14" x14ac:dyDescent="0.25">
      <c r="D297" s="12" t="s">
        <v>194</v>
      </c>
      <c r="H297" s="12" t="s">
        <v>194</v>
      </c>
    </row>
    <row r="298" spans="1:14" x14ac:dyDescent="0.25">
      <c r="D298" s="13" t="s">
        <v>52</v>
      </c>
      <c r="H298" s="12" t="s">
        <v>54</v>
      </c>
    </row>
    <row r="299" spans="1:14" x14ac:dyDescent="0.25">
      <c r="D299" s="13" t="s">
        <v>197</v>
      </c>
      <c r="H299" s="12" t="s">
        <v>68</v>
      </c>
    </row>
    <row r="300" spans="1:14" x14ac:dyDescent="0.25">
      <c r="D300" s="13" t="s">
        <v>224</v>
      </c>
      <c r="H300" s="12" t="s">
        <v>281</v>
      </c>
    </row>
    <row r="301" spans="1:14" x14ac:dyDescent="0.25">
      <c r="D301" s="12" t="s">
        <v>59</v>
      </c>
      <c r="H301" s="12" t="s">
        <v>36</v>
      </c>
    </row>
    <row r="302" spans="1:14" x14ac:dyDescent="0.25">
      <c r="D302" s="12" t="s">
        <v>60</v>
      </c>
      <c r="F302" s="12"/>
      <c r="H302" s="12" t="s">
        <v>525</v>
      </c>
    </row>
    <row r="303" spans="1:14" x14ac:dyDescent="0.25">
      <c r="A303" s="12" t="s">
        <v>205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D310" s="12" t="s">
        <v>223</v>
      </c>
      <c r="H310" s="12" t="s">
        <v>223</v>
      </c>
      <c r="K310" s="5" t="s">
        <v>516</v>
      </c>
      <c r="L310" s="5" t="s">
        <v>517</v>
      </c>
      <c r="M310" s="5" t="s">
        <v>518</v>
      </c>
      <c r="N310" s="5" t="s">
        <v>523</v>
      </c>
    </row>
    <row r="311" spans="1:14" x14ac:dyDescent="0.25">
      <c r="D311" s="12" t="s">
        <v>288</v>
      </c>
      <c r="H311" s="12" t="s">
        <v>288</v>
      </c>
      <c r="I311" s="12" t="s">
        <v>291</v>
      </c>
      <c r="J311" s="5" t="s">
        <v>524</v>
      </c>
    </row>
    <row r="312" spans="1:14" x14ac:dyDescent="0.25">
      <c r="D312" s="12" t="s">
        <v>55</v>
      </c>
      <c r="H312" s="12" t="s">
        <v>36</v>
      </c>
    </row>
    <row r="313" spans="1:14" x14ac:dyDescent="0.25">
      <c r="D313" s="13" t="s">
        <v>66</v>
      </c>
      <c r="F313" s="12"/>
      <c r="H313" s="12" t="s">
        <v>292</v>
      </c>
    </row>
    <row r="314" spans="1:14" x14ac:dyDescent="0.25">
      <c r="D314" s="12" t="s">
        <v>56</v>
      </c>
      <c r="H314" s="12" t="s">
        <v>82</v>
      </c>
    </row>
    <row r="315" spans="1:14" x14ac:dyDescent="0.25">
      <c r="D315" s="12" t="s">
        <v>76</v>
      </c>
      <c r="H315" s="5">
        <v>1</v>
      </c>
    </row>
    <row r="316" spans="1:14" x14ac:dyDescent="0.25">
      <c r="D316" s="12" t="s">
        <v>77</v>
      </c>
      <c r="H316" s="5">
        <v>2</v>
      </c>
    </row>
    <row r="317" spans="1:14" x14ac:dyDescent="0.25">
      <c r="D317" s="12" t="s">
        <v>78</v>
      </c>
      <c r="H317" s="12" t="s">
        <v>36</v>
      </c>
    </row>
    <row r="318" spans="1:14" x14ac:dyDescent="0.25">
      <c r="D318" s="12" t="s">
        <v>79</v>
      </c>
      <c r="H318" s="12" t="s">
        <v>36</v>
      </c>
    </row>
    <row r="319" spans="1:14" x14ac:dyDescent="0.25">
      <c r="D319" s="12" t="s">
        <v>289</v>
      </c>
      <c r="H319" s="12" t="s">
        <v>289</v>
      </c>
    </row>
    <row r="320" spans="1:14" x14ac:dyDescent="0.25">
      <c r="D320" s="12" t="s">
        <v>83</v>
      </c>
      <c r="H320" s="5">
        <v>3</v>
      </c>
    </row>
    <row r="321" spans="1:28" x14ac:dyDescent="0.25">
      <c r="D321" s="12" t="s">
        <v>61</v>
      </c>
      <c r="H321" s="12" t="s">
        <v>68</v>
      </c>
    </row>
    <row r="322" spans="1:28" x14ac:dyDescent="0.25">
      <c r="D322" s="12" t="s">
        <v>290</v>
      </c>
      <c r="H322" s="5">
        <v>0.7</v>
      </c>
    </row>
    <row r="323" spans="1:28" x14ac:dyDescent="0.25">
      <c r="A323" s="12" t="s">
        <v>205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D330" s="12" t="s">
        <v>7</v>
      </c>
      <c r="H330" s="12" t="s">
        <v>23</v>
      </c>
    </row>
    <row r="331" spans="1:28" x14ac:dyDescent="0.25">
      <c r="D331" s="12" t="s">
        <v>8</v>
      </c>
      <c r="H331" s="12" t="s">
        <v>24</v>
      </c>
    </row>
    <row r="332" spans="1:28" x14ac:dyDescent="0.25">
      <c r="D332" s="12" t="s">
        <v>9</v>
      </c>
      <c r="H332" s="12" t="s">
        <v>25</v>
      </c>
    </row>
    <row r="333" spans="1:28" x14ac:dyDescent="0.25">
      <c r="D333" s="13" t="s">
        <v>194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313</v>
      </c>
      <c r="X333" s="5" t="s">
        <v>155</v>
      </c>
      <c r="Y333" s="12" t="s">
        <v>314</v>
      </c>
      <c r="Z333" s="5" t="s">
        <v>108</v>
      </c>
      <c r="AA333" s="12" t="s">
        <v>315</v>
      </c>
      <c r="AB333" s="5" t="s">
        <v>156</v>
      </c>
    </row>
    <row r="334" spans="1:28" x14ac:dyDescent="0.25">
      <c r="D334" s="13" t="s">
        <v>299</v>
      </c>
      <c r="H334" s="12">
        <v>3</v>
      </c>
      <c r="J334" s="12" t="s">
        <v>309</v>
      </c>
      <c r="K334" s="12" t="s">
        <v>310</v>
      </c>
      <c r="L334" s="12" t="s">
        <v>311</v>
      </c>
    </row>
    <row r="335" spans="1:28" x14ac:dyDescent="0.25">
      <c r="D335" s="13" t="s">
        <v>300</v>
      </c>
      <c r="H335" s="12" t="s">
        <v>68</v>
      </c>
      <c r="J335" s="12" t="s">
        <v>308</v>
      </c>
    </row>
    <row r="336" spans="1:28" x14ac:dyDescent="0.25">
      <c r="D336" s="13" t="s">
        <v>526</v>
      </c>
      <c r="H336" s="12">
        <v>1</v>
      </c>
      <c r="J336" s="12" t="s">
        <v>527</v>
      </c>
    </row>
    <row r="337" spans="1:15" x14ac:dyDescent="0.25">
      <c r="D337" s="12" t="s">
        <v>301</v>
      </c>
      <c r="H337" s="12" t="s">
        <v>68</v>
      </c>
    </row>
    <row r="338" spans="1:15" x14ac:dyDescent="0.25">
      <c r="D338" s="13" t="s">
        <v>302</v>
      </c>
      <c r="H338" s="12" t="s">
        <v>34</v>
      </c>
      <c r="J338" s="12" t="s">
        <v>34</v>
      </c>
      <c r="K338" s="12" t="s">
        <v>40</v>
      </c>
    </row>
    <row r="339" spans="1:15" x14ac:dyDescent="0.25">
      <c r="D339" s="12" t="s">
        <v>303</v>
      </c>
      <c r="H339" s="12" t="s">
        <v>36</v>
      </c>
    </row>
    <row r="340" spans="1:15" x14ac:dyDescent="0.25">
      <c r="D340" s="13" t="s">
        <v>11</v>
      </c>
      <c r="H340" s="12">
        <v>3</v>
      </c>
    </row>
    <row r="341" spans="1:15" x14ac:dyDescent="0.25">
      <c r="D341" s="13" t="s">
        <v>304</v>
      </c>
      <c r="H341" s="12" t="s">
        <v>36</v>
      </c>
      <c r="I341" s="12"/>
      <c r="J341" s="12" t="s">
        <v>312</v>
      </c>
      <c r="K341" s="5" t="b">
        <v>1</v>
      </c>
    </row>
    <row r="342" spans="1:15" x14ac:dyDescent="0.25">
      <c r="D342" s="12" t="s">
        <v>131</v>
      </c>
      <c r="F342" s="12"/>
      <c r="H342" s="12">
        <v>1</v>
      </c>
    </row>
    <row r="343" spans="1:15" x14ac:dyDescent="0.25">
      <c r="D343" s="12" t="s">
        <v>135</v>
      </c>
      <c r="F343" s="12"/>
      <c r="H343" s="12" t="s">
        <v>68</v>
      </c>
    </row>
    <row r="344" spans="1:15" x14ac:dyDescent="0.25">
      <c r="D344" s="12" t="s">
        <v>305</v>
      </c>
      <c r="F344" s="12"/>
      <c r="H344" s="12" t="s">
        <v>68</v>
      </c>
      <c r="J344" s="12" t="s">
        <v>322</v>
      </c>
      <c r="K344" s="12" t="s">
        <v>321</v>
      </c>
      <c r="N344" s="12" t="s">
        <v>323</v>
      </c>
      <c r="O344" s="5" t="s">
        <v>152</v>
      </c>
    </row>
    <row r="345" spans="1:15" x14ac:dyDescent="0.25">
      <c r="D345" s="12" t="s">
        <v>306</v>
      </c>
      <c r="F345" s="12"/>
      <c r="H345" s="12" t="s">
        <v>68</v>
      </c>
    </row>
    <row r="346" spans="1:15" x14ac:dyDescent="0.25">
      <c r="B346" s="12"/>
      <c r="D346" s="12" t="s">
        <v>316</v>
      </c>
      <c r="F346" s="12"/>
      <c r="H346" s="12" t="s">
        <v>68</v>
      </c>
    </row>
    <row r="347" spans="1:15" x14ac:dyDescent="0.25">
      <c r="D347" s="12" t="s">
        <v>307</v>
      </c>
      <c r="F347" s="12"/>
      <c r="H347" s="12" t="s">
        <v>68</v>
      </c>
    </row>
    <row r="348" spans="1:15" x14ac:dyDescent="0.25">
      <c r="D348" s="12" t="s">
        <v>317</v>
      </c>
      <c r="F348" s="12"/>
      <c r="H348" s="12" t="s">
        <v>318</v>
      </c>
      <c r="J348" s="12"/>
    </row>
    <row r="349" spans="1:15" x14ac:dyDescent="0.25">
      <c r="A349" s="12" t="s">
        <v>205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365</vt:i4>
      </vt:variant>
    </vt:vector>
  </HeadingPairs>
  <TitlesOfParts>
    <vt:vector size="384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metabolitedata!ExternalData_2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norm1!ExternalData_3</vt:lpstr>
      <vt:lpstr>sampledata!ExternalData_3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sampledata.nomissing!ExternalData_4</vt:lpstr>
      <vt:lpstr>featuredata!ExternalData_5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NormQcmetsFactors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2018-02-25T05:31:22Z</dcterms:modified>
</cp:coreProperties>
</file>